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SEO Page Plan" sheetId="1" r:id="rId5"/>
    <sheet state="visible" name="Source Keywords" sheetId="2" r:id="rId6"/>
    <sheet state="visible" name="Keyword Audit" sheetId="3" r:id="rId7"/>
    <sheet state="visible" name="City Target Coverage" sheetId="4" r:id="rId8"/>
    <sheet state="visible" name="Scope and Sources" sheetId="5" r:id="rId9"/>
  </sheets>
  <definedNames>
    <definedName hidden="1" localSheetId="1" name="_xlnm._FilterDatabase">'Source Keywords'!$A$1:$T$25</definedName>
    <definedName hidden="1" localSheetId="2" name="_xlnm._FilterDatabase">'Keyword Audit'!$A$1:$L$25</definedName>
    <definedName hidden="1" localSheetId="3" name="_xlnm._FilterDatabase">'City Target Coverage'!$A$1:$G$24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National keywords/metrics: two exact Ahrefs CA exports dated 2026-10-21. Cities are previous Canada target places only; all 276 city rows have unmeasured tire search metrics. All pages require operator and local-intent validation before publication.</t>
      </text>
    </comment>
    <comment authorId="0" ref="I19">
      <text>
        <t xml:space="preserve">The source exports contain no city-specific tire keywords or city-level Volume, KD, CPC, or Intent. These city pages are unvalidated coverage candidates and not launch-ready.</t>
      </text>
    </comment>
    <comment authorId="0" ref="F14">
      <text>
        <t xml:space="preserve">Ahrefs associates this broad keyword with a tire repair kit parent keyword. Its search demand may include DIY/product traffic. Verify the commercial service SERP and calls.</t>
      </text>
    </comment>
    <comment authorId="0" ref="F10">
      <text>
        <t xml:space="preserve">The query indicates 24-hour intent, but operating hours are UNKNOWN. Do not publish an after-hours service claim until fulfillment is verified.</t>
      </text>
    </comment>
    <comment authorId="0" ref="F7">
      <text>
        <t xml:space="preserve">General truck roadside assistance can include towing, fuel or jumpstarts. Service scope beyond tire repair must be confirmed before publishing.</t>
      </text>
    </comment>
  </commentList>
</comments>
</file>

<file path=xl/sharedStrings.xml><?xml version="1.0" encoding="utf-8"?>
<sst xmlns="http://schemas.openxmlformats.org/spreadsheetml/2006/main" count="1572" uniqueCount="332">
  <si>
    <t>Source File</t>
  </si>
  <si>
    <t>#</t>
  </si>
  <si>
    <t>CANADA TIRE REPAIR pSEO MASTER | 12 Service Topics | 23 City / Area Targets | 288 Candidates</t>
  </si>
  <si>
    <t>Keyword</t>
  </si>
  <si>
    <t>Country</t>
  </si>
  <si>
    <t>Source #</t>
  </si>
  <si>
    <t>Difficulty</t>
  </si>
  <si>
    <t>Ahrefs Keyword</t>
  </si>
  <si>
    <t>Volume</t>
  </si>
  <si>
    <t>CPC</t>
  </si>
  <si>
    <t>Vol/mo</t>
  </si>
  <si>
    <t>CPS</t>
  </si>
  <si>
    <t>KD</t>
  </si>
  <si>
    <t>Parent Keyword</t>
  </si>
  <si>
    <t>CPC ($)</t>
  </si>
  <si>
    <t>Last Update</t>
  </si>
  <si>
    <t>City / Target Area</t>
  </si>
  <si>
    <t>Master Primary Keyword</t>
  </si>
  <si>
    <t>SERP Features</t>
  </si>
  <si>
    <t>Page Slug</t>
  </si>
  <si>
    <t>Tire Page Candidates</t>
  </si>
  <si>
    <t>Global volume</t>
  </si>
  <si>
    <t>Role</t>
  </si>
  <si>
    <t>Exact Tire City Keywords</t>
  </si>
  <si>
    <t>National Service Family</t>
  </si>
  <si>
    <t>Source Intent</t>
  </si>
  <si>
    <t>Traffic potential</t>
  </si>
  <si>
    <t>Quality Note</t>
  </si>
  <si>
    <t>Global traffic potential</t>
  </si>
  <si>
    <t>First seen</t>
  </si>
  <si>
    <t>City Tire Vol/mo</t>
  </si>
  <si>
    <t>Intents</t>
  </si>
  <si>
    <t>google_ca_24-hour-truck-tire-repair_overview_2026-10-21_23-42-06.csv</t>
  </si>
  <si>
    <t>Geography Provenance</t>
  </si>
  <si>
    <t>Languages</t>
  </si>
  <si>
    <t>Page Title</t>
  </si>
  <si>
    <t>Verification Note</t>
  </si>
  <si>
    <t>SV trend (10-2024 - 09-2026)</t>
  </si>
  <si>
    <t>SV Forecasting trend (10-2026 - 10-2027)</t>
  </si>
  <si>
    <t>Category</t>
  </si>
  <si>
    <t>Primary Keyword</t>
  </si>
  <si>
    <t>Secondary Keywords</t>
  </si>
  <si>
    <t>Target Area</t>
  </si>
  <si>
    <t>Page Type</t>
  </si>
  <si>
    <t>Search Intent</t>
  </si>
  <si>
    <t>Priority</t>
  </si>
  <si>
    <t>CTA</t>
  </si>
  <si>
    <t>truck tire repair</t>
  </si>
  <si>
    <t>TRUCK AND SEMI-TRUCK TIRE SERVICES - CANADA AHREFS SERVICE KEYWORDS</t>
  </si>
  <si>
    <t>Calgary</t>
  </si>
  <si>
    <t>ca</t>
  </si>
  <si>
    <t>google_ca_commercial-cleaning_matching-terms_2026-10-16_18-22-35(1).csv</t>
  </si>
  <si>
    <t>Previously researched target place only. New Ahrefs tire exports do not contain exact city-modified tire keywords. Validate demand, serviceability, operating hours and unique local content.</t>
  </si>
  <si>
    <t>Winnipeg</t>
  </si>
  <si>
    <t>Edmonton</t>
  </si>
  <si>
    <t>/truck-tire-repair</t>
  </si>
  <si>
    <t>Primary</t>
  </si>
  <si>
    <t>Ottawa</t>
  </si>
  <si>
    <t>truck tire shop near me</t>
  </si>
  <si>
    <t>Montreal</t>
  </si>
  <si>
    <t>2026-09-22 20:40:36</t>
  </si>
  <si>
    <t>Local pack,People also ask,Video preview</t>
  </si>
  <si>
    <t>Laval</t>
  </si>
  <si>
    <t>Hamilton</t>
  </si>
  <si>
    <t>St Catharines</t>
  </si>
  <si>
    <t>2015-10-19</t>
  </si>
  <si>
    <t>Informational,Commercial,Transactional,Non-branded,Local</t>
  </si>
  <si>
    <t>Markham</t>
  </si>
  <si>
    <t>English</t>
  </si>
  <si>
    <t>TRUCK AND SEMI-TRUCK TIRE SERVICES</t>
  </si>
  <si>
    <t>131, 132, 107, 132, 129, 110, 133, 153, 191, 234, 239, 206, 185, 233, 208, 197, 200, 218, 255, 215, 251, 257, 208, 244</t>
  </si>
  <si>
    <t>242, 256, 245, 258, 263, 264, 278, 287, 304, 322, 314, 298, 295</t>
  </si>
  <si>
    <t>Maintenance</t>
  </si>
  <si>
    <t>Commercial truck service category; specialized heavy-vehicle service capability requires owner confirmation.</t>
  </si>
  <si>
    <t>North York</t>
  </si>
  <si>
    <t>London Ontario</t>
  </si>
  <si>
    <t>Surrey BC</t>
  </si>
  <si>
    <t>truck roadside assistance</t>
  </si>
  <si>
    <t>Mississauga</t>
  </si>
  <si>
    <t>Toronto</t>
  </si>
  <si>
    <t>Halifax</t>
  </si>
  <si>
    <t>Regina</t>
  </si>
  <si>
    <t>Vancouver</t>
  </si>
  <si>
    <t>/truck-roadside-assistance</t>
  </si>
  <si>
    <t>truck tire service near me</t>
  </si>
  <si>
    <t>Vaughan</t>
  </si>
  <si>
    <t>Broad truck roadside request; scope beyond tire response may include services not verified here.</t>
  </si>
  <si>
    <t>Etobicoke</t>
  </si>
  <si>
    <t>Canada (National)</t>
  </si>
  <si>
    <t>semi truck tire repair near me</t>
  </si>
  <si>
    <t>Barrie</t>
  </si>
  <si>
    <t>/semi-truck-tire-repair</t>
  </si>
  <si>
    <t>Woodbridge</t>
  </si>
  <si>
    <t>Thornhill</t>
  </si>
  <si>
    <t>mobile truck tire repair</t>
  </si>
  <si>
    <t>emergency roadside assistance near me</t>
  </si>
  <si>
    <t>Abbotsford</t>
  </si>
  <si>
    <t>/mobile-truck-tire-repair</t>
  </si>
  <si>
    <t>2026-10-07 06:49:48</t>
  </si>
  <si>
    <t>Local pack,People also ask</t>
  </si>
  <si>
    <t>2016-04-01</t>
  </si>
  <si>
    <t>16, 22, 17, 18, 13, 17, 26, 27, 32, 78, 86, 79, 85, 84, 101, 105, 109, 130, 116, 114, 70, 102, 76, 83</t>
  </si>
  <si>
    <t>88</t>
  </si>
  <si>
    <t>Roadside assistance</t>
  </si>
  <si>
    <t>phone number</t>
  </si>
  <si>
    <t>Secondary</t>
  </si>
  <si>
    <t>heavy truck tire repair near me</t>
  </si>
  <si>
    <t>2026-10-14 22:23:14</t>
  </si>
  <si>
    <t>People also ask,Knowledge panel,Video preview</t>
  </si>
  <si>
    <t>2017-03-24</t>
  </si>
  <si>
    <t>Near-me term has Canada-level volume. Does not establish any specific city search volume.</t>
  </si>
  <si>
    <t>54, 49, 41, 41, 50, 54, 36, 46, 41, 158, 170, 124, 54, 45, 73, 62, 67, 80, 90, 82, 81, 88, 86, 90</t>
  </si>
  <si>
    <t>google_ca_24-hour-tire-repair-24-7-t_overview_2026-10-21_23-40-33.csv</t>
  </si>
  <si>
    <t>89</t>
  </si>
  <si>
    <t>tire repair</t>
  </si>
  <si>
    <t>/tire-repair</t>
  </si>
  <si>
    <t>FLAT TIRE, PUNCTURE AND LEAK REPAIR</t>
  </si>
  <si>
    <t>mobile tire</t>
  </si>
  <si>
    <t>Ahrefs parent keyword includes tire repair kit. Product and DIY intent may be material. Validate live SERP before service-page approval.</t>
  </si>
  <si>
    <t>2026-10-12 09:47:54</t>
  </si>
  <si>
    <t>flat tire repair near me</t>
  </si>
  <si>
    <t>2016-03-19</t>
  </si>
  <si>
    <t>22, 53, 21, 30, 20, 29, 26, 44, 26, 146, 125, 82, 77, 63, 68, 71, 71, 84, 75, 84, 93, 102, 103, 71</t>
  </si>
  <si>
    <t>91</t>
  </si>
  <si>
    <t>/flat-tire-repair</t>
  </si>
  <si>
    <t>flat tire repair</t>
  </si>
  <si>
    <t>tires near me</t>
  </si>
  <si>
    <t>2026-10-20 02:41:04</t>
  </si>
  <si>
    <t>People also ask,Knowledge panel</t>
  </si>
  <si>
    <t>2015-09-29</t>
  </si>
  <si>
    <t>Mixed informational and transactional intents. Validate commercial calling intent and service scope.</t>
  </si>
  <si>
    <t>23, 14, 20, 26, 15, 23, 14, 20, 85, 88, 73, 52, 32, 30, 39, 54, 49, 59, 53, 57, 64, 62, 51, 64</t>
  </si>
  <si>
    <t>59</t>
  </si>
  <si>
    <t>mobile tire repair near me</t>
  </si>
  <si>
    <t>/mobile-tire-repair</t>
  </si>
  <si>
    <t>tire repair kit</t>
  </si>
  <si>
    <t>EMERGENCY, MOBILE AND ROADSIDE TIRE SERVICES</t>
  </si>
  <si>
    <t>2026-10-06 09:34:08</t>
  </si>
  <si>
    <t>AI Overview,Thumbnail,Video preview,Videos,Shopping,People also ask,Knowledge panel</t>
  </si>
  <si>
    <t>2015-09-01</t>
  </si>
  <si>
    <t>mobile tire service near me</t>
  </si>
  <si>
    <t>2058, 2065, 1756, 1516, 1512, 1626, 2036, 2378, 2366, 2525, 2442, 2151, 2074, 2080, 1769, 1527, 1523, 1637, 2050, 2393, 2382, 2541, 2458, 2164</t>
  </si>
  <si>
    <t>2086, 2092, 1779, 1536, 1532, 1646, 2061, 2406, 2394, 2554, 2469, 2174, 2096</t>
  </si>
  <si>
    <t>Maintenance; Price comparisons</t>
  </si>
  <si>
    <t>emergency tire repair</t>
  </si>
  <si>
    <t>/emergency-tire-repair</t>
  </si>
  <si>
    <t>tires north vancouver</t>
  </si>
  <si>
    <t>2026-10-12 17:57:16</t>
  </si>
  <si>
    <t>2015-12-29</t>
  </si>
  <si>
    <t>tire puncture repair</t>
  </si>
  <si>
    <t>930, 777, 942, 761, 604, 744, 764, 833, 850, 808, 807, 658, 685, 784, 645, 635, 640, 671, 649, 786, 662, 689, 686, 640</t>
  </si>
  <si>
    <t>721, 759, 716, 643, 577, 647, 693, 760, 701, 708, 705, 659, 740</t>
  </si>
  <si>
    <t>/tire-puncture-repair</t>
  </si>
  <si>
    <t>flat tire service near me</t>
  </si>
  <si>
    <t>EMERGENCY, MOBILE AND ROADSIDE TIRE SERVICES - CANADA AHREFS SERVICE KEYWORDS</t>
  </si>
  <si>
    <t>2026-09-07 00:16:34</t>
  </si>
  <si>
    <t>People also ask,Video preview,Sitelinks</t>
  </si>
  <si>
    <t>2015-09-18</t>
  </si>
  <si>
    <t>Ahrefs parent keyword points to a Canadian Tire retailer location. Check brand/storefront bleed before publication.</t>
  </si>
  <si>
    <t>roadside tire repair</t>
  </si>
  <si>
    <t>549, 565, 558, 385, 390, 490, 489, 507, 479, 560, 451, 428, 417, 414, 365, 415, 380, 399, 434, 504, 456, 464, 486, 458</t>
  </si>
  <si>
    <t>477, 507, 451, 424, 387, 407, 443, 514, 465, 473, 496, 468, 486</t>
  </si>
  <si>
    <t>/roadside-tire-repair</t>
  </si>
  <si>
    <t>puncture repair near me</t>
  </si>
  <si>
    <t>2026-09-15 15:03:44</t>
  </si>
  <si>
    <t>2017-04-30</t>
  </si>
  <si>
    <t>462, 230, 240, 245, 265, 495, 488, 508, 508, 651, 649, 647, 537, 709, 447, 353, 332, 499, 421, 447, 449, 476, 474, 465</t>
  </si>
  <si>
    <t>475, 461, 438, 427, 427, 466, 464, 475, 477, 505, 502, 493, 503</t>
  </si>
  <si>
    <t>tire leak repair</t>
  </si>
  <si>
    <t>/tire-leak-repair</t>
  </si>
  <si>
    <t>emergency tire service</t>
  </si>
  <si>
    <t>mobile tire service calgary</t>
  </si>
  <si>
    <t>2026-09-19 05:55:02</t>
  </si>
  <si>
    <t>mobile flat tire repair</t>
  </si>
  <si>
    <t>2016-12-18</t>
  </si>
  <si>
    <t>234, 193, 170, 222, 126, 156, 156, 207, 282, 351, 319, 237, 260, 189, 195, 182, 100, 147, 131, 183, 160, 197, 190, 163</t>
  </si>
  <si>
    <t>179</t>
  </si>
  <si>
    <t>emergency tire repair near me</t>
  </si>
  <si>
    <t>2026-10-09 20:36:34</t>
  </si>
  <si>
    <t>emergency tire repair near me; emergency tire service</t>
  </si>
  <si>
    <t>2016-05-11</t>
  </si>
  <si>
    <t>tire patch repair</t>
  </si>
  <si>
    <t>73, 73, 62, 59, 66, 77, 81, 107, 86, 169, 173, 147, 133, 124, 141, 102, 106, 174, 144, 146, 155, 181, 204, 126</t>
  </si>
  <si>
    <t>165</t>
  </si>
  <si>
    <t>24 hour tire repair</t>
  </si>
  <si>
    <t>flat tire fix near me</t>
  </si>
  <si>
    <t>2026-09-24 23:41:18</t>
  </si>
  <si>
    <t>Local pack,Shopping,Thumbnail,People also ask,Video preview</t>
  </si>
  <si>
    <t>on site tire repair</t>
  </si>
  <si>
    <t>2015-09-16</t>
  </si>
  <si>
    <t>163, 167, 161, 112, 112, 168, 167, 213, 168, 175, 180, 170, 178, 173, 145, 131, 137, 154, 145, 186, 181, 185, 191, 176</t>
  </si>
  <si>
    <t>186, 190, 181, 152, 148, 165, 180, 192, 179, 183, 174, 174, 184</t>
  </si>
  <si>
    <t>/24-hour-tire-repair</t>
  </si>
  <si>
    <t>mobile tire service near me; mobile flat tire repair; on site tire repair</t>
  </si>
  <si>
    <t>24-hour keyword is measured; actual 24-hour service commitment is not verified.</t>
  </si>
  <si>
    <t>canadian tire sherwood park wye road</t>
  </si>
  <si>
    <t>tire repair service near me</t>
  </si>
  <si>
    <t>2026-10-03 06:40:14</t>
  </si>
  <si>
    <t>FLAT TIRE, PUNCTURE AND LEAK REPAIR - CANADA AHREFS SERVICE KEYWORDS</t>
  </si>
  <si>
    <t>2017-04-14</t>
  </si>
  <si>
    <t>40, 35, 42, 54, 32, 55, 59, 105, 74, 169, 218, 143, 97, 99, 197, 146, 121, 158, 113, 125, 134, 149, 163, 167</t>
  </si>
  <si>
    <t>158</t>
  </si>
  <si>
    <t>2026-10-07 04:00:52</t>
  </si>
  <si>
    <t>2016-05-10</t>
  </si>
  <si>
    <t>45, 43, 47, 45, 49, 80, 73, 78, 96, 93, 132, 102, 87, 49, 95, 127, 177, 153, 104, 130, 141, 123, 126, 113</t>
  </si>
  <si>
    <t>116</t>
  </si>
  <si>
    <t>tire puncture repair near me</t>
  </si>
  <si>
    <t>2026-10-16 17:49:02</t>
  </si>
  <si>
    <t>2018-08-24</t>
  </si>
  <si>
    <t>303, 172, 164, 145, 125, 128, 131, 248, 265, 206, 174, 158, 117, 76, 88, 63, 78, 115, 94, 109, 113, 121, 147, 141</t>
  </si>
  <si>
    <t>133</t>
  </si>
  <si>
    <t>tyre puncture</t>
  </si>
  <si>
    <t>2026-10-07 13:05:24</t>
  </si>
  <si>
    <t>Knowledge panel,People also ask,Discussions,Video preview</t>
  </si>
  <si>
    <t>2015-10-24</t>
  </si>
  <si>
    <t>21, 37, 29, 25, 16, 22, 25, 45, 23, 21, 32, 26, 54, 74, 57, 48, 49, 47, 41, 46, 68, 74, 102, 151</t>
  </si>
  <si>
    <t>105</t>
  </si>
  <si>
    <t>flat tire repair; flat tire service near me; flat tire fix near me</t>
  </si>
  <si>
    <t>2026-10-02 18:36:13</t>
  </si>
  <si>
    <t>2015-12-06</t>
  </si>
  <si>
    <t>22, 43, 36, 29, 36, 29, 23, 40, 38, 69, 70, 62, 68, 50, 81, 44, 25, 72, 48, 51, 63, 55, 45, 45</t>
  </si>
  <si>
    <t>puncture repair near me; tire patch repair</t>
  </si>
  <si>
    <t>48</t>
  </si>
  <si>
    <t>tire mobile service</t>
  </si>
  <si>
    <t>2026-09-23 13:17:57</t>
  </si>
  <si>
    <t>2016-04-22</t>
  </si>
  <si>
    <t>28, 36, 43, 54, 47, 66, 58, 70, 50, 82, 71, 50, 51, 36, 51, 56, 40, 42, 95, 78, 87, 59, 68, 54</t>
  </si>
  <si>
    <t>CITY / AREA SERVICE PAGES - CALGARY - NO LOCAL SEARCH METRICS</t>
  </si>
  <si>
    <t>mobile tire repair ottawa</t>
  </si>
  <si>
    <t>2026-09-14 00:12:36</t>
  </si>
  <si>
    <t>2017-03-19</t>
  </si>
  <si>
    <t>38, 50, 43, 52, 36, 46, 54, 78, 59, 89, 75, 67, 76, 62, 87, 61, 40, 78, 65, 73, 78, 55, 53, 38</t>
  </si>
  <si>
    <t>46</t>
  </si>
  <si>
    <t>2026-10-17 21:43:01</t>
  </si>
  <si>
    <t>Local pack,People also ask,Sitelinks,Videos,Video preview</t>
  </si>
  <si>
    <t>2016-10-06</t>
  </si>
  <si>
    <t>41, 30, 12, 9, 6, 13, 12, 13, 13, 25, 18, 62, 31, 33, 22, 19, 22, 28, 41, 52, 92, 91, 89, 61</t>
  </si>
  <si>
    <t>80</t>
  </si>
  <si>
    <t>2026-10-17 09:56:12</t>
  </si>
  <si>
    <t>2017-03-05</t>
  </si>
  <si>
    <t>24, 38, 34, 27, 25, 26, 44, 55, 40, 43, 32, 40, 55, 26, 32, 26, 27, 25, 24, 43, 40, 35, 51, 47</t>
  </si>
  <si>
    <t>44</t>
  </si>
  <si>
    <t>2026-10-20 14:53:00</t>
  </si>
  <si>
    <t>2020-01-13</t>
  </si>
  <si>
    <t>8, 11, 8, 9, 8, 10, 8, 18, 22, 22, 13, 10, 16, 23, 20, 15, 6, 10, 16, 16, 10, 14, 25, 12</t>
  </si>
  <si>
    <t>18</t>
  </si>
  <si>
    <t>24 hour tire shop</t>
  </si>
  <si>
    <t>2026-10-06 09:15:51</t>
  </si>
  <si>
    <t>2016-03-24</t>
  </si>
  <si>
    <t>15, 18, 15, 12, 14, 13, 13, 11, 50, 50, 44, 21, 15, 17, 14, 11, 13, 13, 13, 11, 48, 48, 42, 21</t>
  </si>
  <si>
    <t>14, 16, 14, 11, 13, 12, 12, 10, 46, 46, 40, 20, 13</t>
  </si>
  <si>
    <t>in and out tire</t>
  </si>
  <si>
    <t>2026-09-09 17:28:30</t>
  </si>
  <si>
    <t>2017-10-20</t>
  </si>
  <si>
    <t>17, 39, 20, 23, 22, 17, 14, 13, 74, 28, 17, 18, 13, 16, 10, 16, 9, 14, 10, 20, 15, 9, 16, 12</t>
  </si>
  <si>
    <t>13</t>
  </si>
  <si>
    <t>CANADA TIRE REPAIR | EVIDENCE, KEYWORD SCOPE AND PUBLICATION CONTROLS</t>
  </si>
  <si>
    <t>CITY / AREA SERVICE PAGES - WINNIPEG - NO LOCAL SEARCH METRICS</t>
  </si>
  <si>
    <t>Country / research geography</t>
  </si>
  <si>
    <t>Canada, Ahrefs CA database</t>
  </si>
  <si>
    <t>Canada-level metrics apply to the exact source phrase, not any city or truck-specific variation of a broad term.</t>
  </si>
  <si>
    <t>Truck tire source export</t>
  </si>
  <si>
    <t>5 exact exported Ahrefs terms.</t>
  </si>
  <si>
    <t>General tire service export</t>
  </si>
  <si>
    <t>19 exact exported Ahrefs terms.</t>
  </si>
  <si>
    <t>Unique source keyword count</t>
  </si>
  <si>
    <t>No keyword was duplicated across the exports.</t>
  </si>
  <si>
    <t>National service page topics</t>
  </si>
  <si>
    <t>All 24 exact source terms are assigned once to 12 distinct call-focused services.</t>
  </si>
  <si>
    <t>City target areas</t>
  </si>
  <si>
    <t>Previously researched Canada pSEO targets only, not every city in Canada.</t>
  </si>
  <si>
    <t>City master candidates</t>
  </si>
  <si>
    <t>12 service candidates in each of 23 locations; all city keyword metrics blank.</t>
  </si>
  <si>
    <t>Total page candidates</t>
  </si>
  <si>
    <t>12 national page topics plus 276 unmeasured city/area expansion candidates.</t>
  </si>
  <si>
    <t>Ahrefs source terms with Volume</t>
  </si>
  <si>
    <t>True 0 and missing data are different; do not sum query volumes to forecast leads.</t>
  </si>
  <si>
    <t>Ahrefs source terms with KD</t>
  </si>
  <si>
    <t>A numeric KD of 0 means Ahrefs reported zero difficulty, not missing data.</t>
  </si>
  <si>
    <t>Ahrefs source terms with CPC</t>
  </si>
  <si>
    <t>CPC retained verbatim as numeric Ahrefs data; actual acquisition cost is unknown.</t>
  </si>
  <si>
    <t>City keywords measured in current exports</t>
  </si>
  <si>
    <t>No exact city-qualified tire keywords. Parent Keyword mentions do not count as a city metric.</t>
  </si>
  <si>
    <t>Geographic targeting provenance</t>
  </si>
  <si>
    <t>The 23 places were carried forward from prior Commercial Cleaning city research, not identified as tire markets.</t>
  </si>
  <si>
    <t>Commercial truck vs general consumer scope</t>
  </si>
  <si>
    <t>MIXED</t>
  </si>
  <si>
    <t>Truck tire pages are separate from broad passenger and retail terms. Actual fleet, passenger and heavy-duty coverage must be verified.</t>
  </si>
  <si>
    <t>Tire repair DIY / product bleed</t>
  </si>
  <si>
    <t>FLAG</t>
  </si>
  <si>
    <t>Ahrefs uses tire repair kit as parent of some broad repair phrases; validate commercial service SERP and real call intent.</t>
  </si>
  <si>
    <t>Retail and navigational bleed</t>
  </si>
  <si>
    <t>Some Parent Keywords reference retailer locations or brands; these do not validate city demand.</t>
  </si>
  <si>
    <t>Emergency / 24-hour claims</t>
  </si>
  <si>
    <t>UNKNOWN</t>
  </si>
  <si>
    <t>24-hour, emergency or 24/7 operating hours are not verified. Do not make an unconditional after-hours promise.</t>
  </si>
  <si>
    <t>Truck roadside assistance scope</t>
  </si>
  <si>
    <t>The term can mean more than tire repair. Do not imply towing, jump starts or other assistance unless confirmed.</t>
  </si>
  <si>
    <t>Professional / heavy truck capabilities</t>
  </si>
  <si>
    <t>On-road truck tire service may require specialized equipment and qualified providers; serviceability not established.</t>
  </si>
  <si>
    <t>Page Type and Priority</t>
  </si>
  <si>
    <t>Blank</t>
  </si>
  <si>
    <t>Not supplied as verified keyword source fields.</t>
  </si>
  <si>
    <t>Exact user CTA in every 288 master-sheet row.</t>
  </si>
  <si>
    <t>Not a blanket publish approval</t>
  </si>
  <si>
    <t>RESEARCH CANDIDATES</t>
  </si>
  <si>
    <t>Before publishing unique city pages, confirm local usefulness, actual fulfillment, appropriate response hours and distinct intent.</t>
  </si>
  <si>
    <t>Existing vs new</t>
  </si>
  <si>
    <t>EXTENSION hypothesis</t>
  </si>
  <si>
    <t>Likely reuse of existing Proof360 pSEO and emergency-response acquisition surfaces. Architecture owner should confirm.</t>
  </si>
  <si>
    <t>CITY / AREA SERVICE PAGES - EDMONTON - NO LOCAL SEARCH METRICS</t>
  </si>
  <si>
    <t>CITY / AREA SERVICE PAGES - OTTAWA - NO LOCAL SEARCH METRICS</t>
  </si>
  <si>
    <t>CITY / AREA SERVICE PAGES - MONTREAL - NO LOCAL SEARCH METRICS</t>
  </si>
  <si>
    <t>CITY / AREA SERVICE PAGES - LAVAL - NO LOCAL SEARCH METRICS</t>
  </si>
  <si>
    <t>CITY / AREA SERVICE PAGES - HAMILTON - NO LOCAL SEARCH METRICS</t>
  </si>
  <si>
    <t>CITY / AREA SERVICE PAGES - ST CATHARINES - NO LOCAL SEARCH METRICS</t>
  </si>
  <si>
    <t>CITY / AREA SERVICE PAGES - MARKHAM - NO LOCAL SEARCH METRICS</t>
  </si>
  <si>
    <t>CITY / AREA SERVICE PAGES - NORTH YORK - NO LOCAL SEARCH METRICS</t>
  </si>
  <si>
    <t>CITY / AREA SERVICE PAGES - LONDON ONTARIO - NO LOCAL SEARCH METRICS</t>
  </si>
  <si>
    <t>CITY / AREA SERVICE PAGES - SURREY BC - NO LOCAL SEARCH METRICS</t>
  </si>
  <si>
    <t>CITY / AREA SERVICE PAGES - MISSISSAUGA - NO LOCAL SEARCH METRICS</t>
  </si>
  <si>
    <t>CITY / AREA SERVICE PAGES - TORONTO - NO LOCAL SEARCH METRICS</t>
  </si>
  <si>
    <t>CITY / AREA SERVICE PAGES - HALIFAX - NO LOCAL SEARCH METRICS</t>
  </si>
  <si>
    <t>CITY / AREA SERVICE PAGES - REGINA - NO LOCAL SEARCH METRICS</t>
  </si>
  <si>
    <t>CITY / AREA SERVICE PAGES - VANCOUVER - NO LOCAL SEARCH METRICS</t>
  </si>
  <si>
    <t>CITY / AREA SERVICE PAGES - VAUGHAN - NO LOCAL SEARCH METRICS</t>
  </si>
  <si>
    <t>CITY / AREA SERVICE PAGES - ETOBICOKE - NO LOCAL SEARCH METRICS</t>
  </si>
  <si>
    <t>CITY / AREA SERVICE PAGES - BARRIE - NO LOCAL SEARCH METRICS</t>
  </si>
  <si>
    <t>CITY / AREA SERVICE PAGES - WOODBRIDGE - NO LOCAL SEARCH METRICS</t>
  </si>
  <si>
    <t>CITY / AREA SERVICE PAGES - THORNHILL - NO LOCAL SEARCH METRICS</t>
  </si>
  <si>
    <t>CITY / AREA SERVICE PAGES - ABBOTSFORD - NO LOCAL SEARCH METRICS</t>
  </si>
  <si>
    <t>TOTAL: 288 PAGE CANDIDATES | 12 NATIONAL SERVICE PAGES | 276 UNMEASURED CITY PAGES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</si>
</sst>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3">
    <font>
      <sz val="11.0"/>
      <color theme="1"/>
      <name val="Calibri"/>
      <scheme val="minor"/>
    </font>
    <font>
      <b/>
      <sz val="15.0"/>
      <color rgb="FFFFFFFF"/>
      <name val="Play"/>
    </font>
    <font>
      <b/>
      <sz val="10.0"/>
      <color rgb="FFFFFFFF"/>
      <name val="Aptos"/>
    </font>
    <font/>
    <font>
      <sz val="9.0"/>
      <color rgb="FF223449"/>
      <name val="Aptos"/>
    </font>
    <font>
      <sz val="10.0"/>
      <color rgb="FF223449"/>
      <name val="Aptos"/>
    </font>
    <font>
      <sz val="9.0"/>
      <color rgb="FF203143"/>
      <name val="Aptos"/>
    </font>
    <font>
      <sz val="9.0"/>
      <color rgb="FF16804E"/>
      <name val="Aptos"/>
    </font>
    <font>
      <b/>
      <sz val="11.0"/>
      <color rgb="FF8A1A1A"/>
      <name val="Aptos"/>
    </font>
    <font>
      <b/>
      <sz val="9.0"/>
      <color rgb="FF18713F"/>
      <name val="Aptos"/>
    </font>
    <font>
      <sz val="10.0"/>
      <color rgb="FF677788"/>
      <name val="Aptos"/>
    </font>
    <font>
      <sz val="9.0"/>
      <color rgb="FF18713F"/>
      <name val="Aptos"/>
    </font>
    <font>
      <b/>
      <sz val="10.0"/>
      <color rgb="FF0D2B55"/>
      <name val="Aptos"/>
    </font>
    <font>
      <sz val="10.0"/>
      <color rgb="FF0070C0"/>
      <name val="Aptos"/>
    </font>
    <font>
      <b/>
      <sz val="10.0"/>
      <color rgb="FF18713F"/>
      <name val="Aptos"/>
    </font>
    <font>
      <sz val="10.0"/>
      <color rgb="FF18713F"/>
      <name val="Aptos"/>
    </font>
    <font>
      <b/>
      <sz val="10.0"/>
      <color rgb="FF8A1A1A"/>
      <name val="Aptos"/>
    </font>
    <font>
      <sz val="10.0"/>
      <color rgb="FF203143"/>
      <name val="Aptos"/>
    </font>
    <font>
      <b/>
      <sz val="10.0"/>
      <color rgb="FF5A3E8A"/>
      <name val="Aptos"/>
    </font>
    <font>
      <b/>
      <sz val="11.0"/>
      <color rgb="FF205879"/>
      <name val="Aptos"/>
    </font>
    <font>
      <b/>
      <sz val="10.0"/>
      <color rgb="FF205879"/>
      <name val="Aptos"/>
    </font>
    <font>
      <b/>
      <sz val="10.0"/>
      <color rgb="FF1B2F44"/>
      <name val="Aptos"/>
    </font>
    <font>
      <sz val="10.0"/>
      <color rgb="FF1B2F44"/>
      <name val="Aptos"/>
    </font>
  </fonts>
  <fills count="15">
    <fill>
      <patternFill patternType="none"/>
    </fill>
    <fill>
      <patternFill patternType="lightGray"/>
    </fill>
    <fill>
      <patternFill patternType="solid">
        <fgColor rgb="FF0D2B55"/>
        <bgColor rgb="FF0D2B55"/>
      </patternFill>
    </fill>
    <fill>
      <patternFill patternType="solid">
        <fgColor rgb="FF153452"/>
        <bgColor rgb="FF153452"/>
      </patternFill>
    </fill>
    <fill>
      <patternFill patternType="solid">
        <fgColor rgb="FF1A4A8A"/>
        <bgColor rgb="FF1A4A8A"/>
      </patternFill>
    </fill>
    <fill>
      <patternFill patternType="solid">
        <fgColor rgb="FFF5F8FB"/>
        <bgColor rgb="FFF5F8FB"/>
      </patternFill>
    </fill>
    <fill>
      <patternFill patternType="solid">
        <fgColor rgb="FFF4F5F7"/>
        <bgColor rgb="FFF4F5F7"/>
      </patternFill>
    </fill>
    <fill>
      <patternFill patternType="solid">
        <fgColor rgb="FFF7D6D6"/>
        <bgColor rgb="FFF7D6D6"/>
      </patternFill>
    </fill>
    <fill>
      <patternFill patternType="solid">
        <fgColor rgb="FFFFF2DE"/>
        <bgColor rgb="FFFFF2DE"/>
      </patternFill>
    </fill>
    <fill>
      <patternFill patternType="solid">
        <fgColor rgb="FFFFFFFF"/>
        <bgColor rgb="FFFFFFFF"/>
      </patternFill>
    </fill>
    <fill>
      <patternFill patternType="solid">
        <fgColor rgb="FFDDF1EC"/>
        <bgColor rgb="FFDDF1EC"/>
      </patternFill>
    </fill>
    <fill>
      <patternFill patternType="solid">
        <fgColor rgb="FFFFF2DD"/>
        <bgColor rgb="FFFFF2DD"/>
      </patternFill>
    </fill>
    <fill>
      <patternFill patternType="solid">
        <fgColor rgb="FFDCEAF5"/>
        <bgColor rgb="FFDCEAF5"/>
      </patternFill>
    </fill>
    <fill>
      <patternFill patternType="solid">
        <fgColor rgb="FFE4EDF8"/>
        <bgColor rgb="FFE4EDF8"/>
      </patternFill>
    </fill>
    <fill>
      <patternFill patternType="solid">
        <fgColor rgb="FFEDF4F8"/>
        <bgColor rgb="FFEDF4F8"/>
      </patternFill>
    </fill>
  </fills>
  <borders count="5">
    <border/>
    <border>
      <left/>
      <top/>
      <bottom/>
    </border>
    <border>
      <left/>
      <righ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6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center"/>
    </xf>
    <xf borderId="2" fillId="3" fontId="2" numFmtId="0" xfId="0" applyAlignment="1" applyBorder="1" applyFill="1" applyFont="1">
      <alignment shrinkToFit="0" vertical="center" wrapText="1"/>
    </xf>
    <xf borderId="2" fillId="4" fontId="2" numFmtId="0" xfId="0" applyAlignment="1" applyBorder="1" applyFill="1" applyFont="1">
      <alignment shrinkToFit="0" vertical="center" wrapText="1"/>
    </xf>
    <xf borderId="3" fillId="0" fontId="3" numFmtId="0" xfId="0" applyBorder="1" applyFont="1"/>
    <xf borderId="4" fillId="0" fontId="3" numFmtId="0" xfId="0" applyBorder="1" applyFont="1"/>
    <xf borderId="2" fillId="4" fontId="2" numFmtId="0" xfId="0" applyAlignment="1" applyBorder="1" applyFill="1" applyFont="1">
      <alignment horizontal="center" shrinkToFit="0" vertical="center" wrapText="1"/>
    </xf>
    <xf borderId="2" fillId="4" fontId="2" numFmtId="0" xfId="0" applyAlignment="1" applyBorder="1" applyFill="1" applyFont="1">
      <alignment horizontal="left" shrinkToFit="0" vertical="center" wrapText="1"/>
    </xf>
    <xf borderId="2" fillId="5" fontId="4" numFmtId="0" xfId="0" applyAlignment="1" applyBorder="1" applyFill="1" applyFont="1">
      <alignment shrinkToFit="0" vertical="center" wrapText="1"/>
    </xf>
    <xf borderId="2" fillId="5" fontId="4" numFmtId="0" xfId="0" applyAlignment="1" applyBorder="1" applyFill="1" applyFont="1">
      <alignment vertical="center"/>
    </xf>
    <xf borderId="2" fillId="6" fontId="6" numFmtId="3" xfId="0" applyAlignment="1" applyBorder="1" applyFill="1" applyFont="1" applyNumberFormat="1">
      <alignment vertical="center"/>
    </xf>
    <xf borderId="2" fillId="5" fontId="5" numFmtId="0" xfId="0" applyAlignment="1" applyBorder="1" applyFill="1" applyFont="1">
      <alignment vertical="center"/>
    </xf>
    <xf borderId="2" fillId="5" fontId="7" numFmtId="0" xfId="0" applyAlignment="1" applyBorder="1" applyFill="1" applyFont="1">
      <alignment shrinkToFit="0" vertical="center" wrapText="1"/>
    </xf>
    <xf borderId="1" fillId="7" fontId="8" numFmtId="0" xfId="0" applyAlignment="1" applyBorder="1" applyFill="1" applyFont="1">
      <alignment vertical="center"/>
    </xf>
    <xf borderId="2" fillId="6" fontId="9" numFmtId="0" xfId="0" applyAlignment="1" applyBorder="1" applyFill="1" applyFont="1">
      <alignment vertical="center"/>
    </xf>
    <xf borderId="2" fillId="8" fontId="5" numFmtId="0" xfId="0" applyAlignment="1" applyBorder="1" applyFill="1" applyFont="1">
      <alignment vertical="center"/>
    </xf>
    <xf borderId="2" fillId="6" fontId="6" numFmtId="0" xfId="0" applyAlignment="1" applyBorder="1" applyFill="1" applyFont="1">
      <alignment vertical="center"/>
    </xf>
    <xf borderId="2" fillId="9" fontId="10" numFmtId="0" xfId="0" applyAlignment="1" applyBorder="1" applyFill="1" applyFont="1">
      <alignment horizontal="right" vertical="center"/>
    </xf>
    <xf borderId="2" fillId="5" fontId="5" numFmtId="0" xfId="0" applyAlignment="1" applyBorder="1" applyFill="1" applyFont="1">
      <alignment shrinkToFit="0" vertical="center" wrapText="1"/>
    </xf>
    <xf borderId="2" fillId="5" fontId="7" numFmtId="0" xfId="0" applyAlignment="1" applyBorder="1" applyFill="1" applyFont="1">
      <alignment vertical="center"/>
    </xf>
    <xf borderId="0" fillId="0" fontId="5" numFmtId="0" xfId="0" applyAlignment="1" applyFont="1">
      <alignment vertical="center"/>
    </xf>
    <xf borderId="2" fillId="6" fontId="11" numFmtId="3" xfId="0" applyAlignment="1" applyBorder="1" applyFill="1" applyFont="1" applyNumberFormat="1">
      <alignment vertical="center"/>
    </xf>
    <xf borderId="0" fillId="0" fontId="5" numFmtId="0" xfId="0" applyAlignment="1" applyFont="1">
      <alignment shrinkToFit="0" vertical="center" wrapText="1"/>
    </xf>
    <xf borderId="2" fillId="5" fontId="7" numFmtId="2" xfId="0" applyAlignment="1" applyBorder="1" applyFill="1" applyFont="1" applyNumberFormat="1">
      <alignment vertical="center"/>
    </xf>
    <xf borderId="2" fillId="6" fontId="11" numFmtId="2" xfId="0" applyAlignment="1" applyBorder="1" applyFill="1" applyFont="1" applyNumberFormat="1">
      <alignment vertical="center"/>
    </xf>
    <xf borderId="2" fillId="6" fontId="6" numFmtId="2" xfId="0" applyAlignment="1" applyBorder="1" applyFill="1" applyFont="1" applyNumberFormat="1">
      <alignment vertical="center"/>
    </xf>
    <xf borderId="2" fillId="10" fontId="4" numFmtId="0" xfId="0" applyAlignment="1" applyBorder="1" applyFill="1" applyFont="1">
      <alignment vertical="center"/>
    </xf>
    <xf borderId="2" fillId="9" fontId="12" numFmtId="0" xfId="0" applyAlignment="1" applyBorder="1" applyFill="1" applyFont="1">
      <alignment horizontal="left" shrinkToFit="0" vertical="center" wrapText="1"/>
    </xf>
    <xf borderId="0" fillId="0" fontId="4" numFmtId="0" xfId="0" applyAlignment="1" applyFont="1">
      <alignment shrinkToFit="0" vertical="center" wrapText="1"/>
    </xf>
    <xf borderId="2" fillId="9" fontId="6" numFmtId="3" xfId="0" applyAlignment="1" applyBorder="1" applyFill="1" applyFont="1" applyNumberFormat="1">
      <alignment vertical="center"/>
    </xf>
    <xf borderId="0" fillId="0" fontId="4" numFmtId="0" xfId="0" applyAlignment="1" applyFont="1">
      <alignment vertical="center"/>
    </xf>
    <xf borderId="0" fillId="0" fontId="7" numFmtId="0" xfId="0" applyAlignment="1" applyFont="1">
      <alignment shrinkToFit="0" vertical="center" wrapText="1"/>
    </xf>
    <xf borderId="2" fillId="9" fontId="9" numFmtId="0" xfId="0" applyAlignment="1" applyBorder="1" applyFill="1" applyFont="1">
      <alignment vertical="center"/>
    </xf>
    <xf borderId="0" fillId="0" fontId="7" numFmtId="0" xfId="0" applyAlignment="1" applyFont="1">
      <alignment vertical="center"/>
    </xf>
    <xf borderId="2" fillId="9" fontId="13" numFmtId="0" xfId="0" applyAlignment="1" applyBorder="1" applyFill="1" applyFont="1">
      <alignment horizontal="left" vertical="center"/>
    </xf>
    <xf borderId="0" fillId="0" fontId="7" numFmtId="2" xfId="0" applyAlignment="1" applyFont="1" applyNumberFormat="1">
      <alignment vertical="center"/>
    </xf>
    <xf borderId="2" fillId="9" fontId="6" numFmtId="0" xfId="0" applyAlignment="1" applyBorder="1" applyFill="1" applyFont="1">
      <alignment vertical="center"/>
    </xf>
    <xf borderId="2" fillId="9" fontId="14" numFmtId="0" xfId="0" applyAlignment="1" applyBorder="1" applyFill="1" applyFont="1">
      <alignment horizontal="left" shrinkToFit="0" vertical="center" wrapText="1"/>
    </xf>
    <xf borderId="2" fillId="9" fontId="15" numFmtId="0" xfId="0" applyAlignment="1" applyBorder="1" applyFill="1" applyFont="1">
      <alignment horizontal="left" shrinkToFit="0" vertical="center" wrapText="1"/>
    </xf>
    <xf borderId="2" fillId="9" fontId="11" numFmtId="3" xfId="0" applyAlignment="1" applyBorder="1" applyFill="1" applyFont="1" applyNumberFormat="1">
      <alignment vertical="center"/>
    </xf>
    <xf borderId="2" fillId="7" fontId="16" numFmtId="0" xfId="0" applyAlignment="1" applyBorder="1" applyFill="1" applyFont="1">
      <alignment horizontal="left" shrinkToFit="0" vertical="center" wrapText="1"/>
    </xf>
    <xf borderId="2" fillId="9" fontId="11" numFmtId="2" xfId="0" applyAlignment="1" applyBorder="1" applyFill="1" applyFont="1" applyNumberFormat="1">
      <alignment vertical="center"/>
    </xf>
    <xf borderId="2" fillId="9" fontId="17" numFmtId="0" xfId="0" applyAlignment="1" applyBorder="1" applyFill="1" applyFont="1">
      <alignment horizontal="left" vertical="center"/>
    </xf>
    <xf borderId="2" fillId="9" fontId="6" numFmtId="2" xfId="0" applyAlignment="1" applyBorder="1" applyFill="1" applyFont="1" applyNumberFormat="1">
      <alignment vertical="center"/>
    </xf>
    <xf borderId="2" fillId="9" fontId="14" numFmtId="3" xfId="0" applyAlignment="1" applyBorder="1" applyFill="1" applyFont="1" applyNumberFormat="1">
      <alignment horizontal="right" vertical="center"/>
    </xf>
    <xf borderId="2" fillId="9" fontId="15" numFmtId="1" xfId="0" applyAlignment="1" applyBorder="1" applyFill="1" applyFont="1" applyNumberFormat="1">
      <alignment horizontal="right" vertical="center"/>
    </xf>
    <xf borderId="2" fillId="9" fontId="15" numFmtId="2" xfId="0" applyAlignment="1" applyBorder="1" applyFill="1" applyFont="1" applyNumberFormat="1">
      <alignment horizontal="right" vertical="center"/>
    </xf>
    <xf borderId="2" fillId="9" fontId="18" numFmtId="0" xfId="0" applyAlignment="1" applyBorder="1" applyFill="1" applyFont="1">
      <alignment horizontal="center" vertical="center"/>
    </xf>
    <xf borderId="2" fillId="8" fontId="4" numFmtId="0" xfId="0" applyAlignment="1" applyBorder="1" applyFill="1" applyFont="1">
      <alignment vertical="center"/>
    </xf>
    <xf borderId="2" fillId="6" fontId="10" numFmtId="0" xfId="0" applyAlignment="1" applyBorder="1" applyFill="1" applyFont="1">
      <alignment horizontal="right" vertical="center"/>
    </xf>
    <xf borderId="2" fillId="6" fontId="12" numFmtId="0" xfId="0" applyAlignment="1" applyBorder="1" applyFill="1" applyFont="1">
      <alignment horizontal="left" shrinkToFit="0" vertical="center" wrapText="1"/>
    </xf>
    <xf borderId="2" fillId="6" fontId="13" numFmtId="0" xfId="0" applyAlignment="1" applyBorder="1" applyFill="1" applyFont="1">
      <alignment horizontal="left" vertical="center"/>
    </xf>
    <xf borderId="2" fillId="6" fontId="14" numFmtId="0" xfId="0" applyAlignment="1" applyBorder="1" applyFill="1" applyFont="1">
      <alignment horizontal="left" shrinkToFit="0" vertical="center" wrapText="1"/>
    </xf>
    <xf borderId="2" fillId="6" fontId="15" numFmtId="0" xfId="0" applyAlignment="1" applyBorder="1" applyFill="1" applyFont="1">
      <alignment horizontal="left" shrinkToFit="0" vertical="center" wrapText="1"/>
    </xf>
    <xf borderId="2" fillId="6" fontId="17" numFmtId="0" xfId="0" applyAlignment="1" applyBorder="1" applyFill="1" applyFont="1">
      <alignment horizontal="left" vertical="center"/>
    </xf>
    <xf borderId="2" fillId="6" fontId="14" numFmtId="3" xfId="0" applyAlignment="1" applyBorder="1" applyFill="1" applyFont="1" applyNumberFormat="1">
      <alignment horizontal="right" vertical="center"/>
    </xf>
    <xf borderId="2" fillId="6" fontId="15" numFmtId="1" xfId="0" applyAlignment="1" applyBorder="1" applyFill="1" applyFont="1" applyNumberFormat="1">
      <alignment horizontal="right" vertical="center"/>
    </xf>
    <xf borderId="2" fillId="6" fontId="15" numFmtId="2" xfId="0" applyAlignment="1" applyBorder="1" applyFill="1" applyFont="1" applyNumberFormat="1">
      <alignment horizontal="right" vertical="center"/>
    </xf>
    <xf borderId="2" fillId="6" fontId="18" numFmtId="0" xfId="0" applyAlignment="1" applyBorder="1" applyFill="1" applyFont="1">
      <alignment horizontal="center" vertical="center"/>
    </xf>
    <xf borderId="2" fillId="11" fontId="16" numFmtId="0" xfId="0" applyAlignment="1" applyBorder="1" applyFill="1" applyFont="1">
      <alignment horizontal="left" shrinkToFit="0" vertical="center" wrapText="1"/>
    </xf>
    <xf borderId="1" fillId="12" fontId="19" numFmtId="0" xfId="0" applyAlignment="1" applyBorder="1" applyFill="1" applyFont="1">
      <alignment vertical="center"/>
    </xf>
    <xf borderId="2" fillId="13" fontId="20" numFmtId="0" xfId="0" applyAlignment="1" applyBorder="1" applyFill="1" applyFont="1">
      <alignment horizontal="left" shrinkToFit="0" vertical="center" wrapText="1"/>
    </xf>
    <xf borderId="1" fillId="2" fontId="1" numFmtId="0" xfId="0" applyBorder="1" applyFill="1" applyFont="1"/>
    <xf borderId="2" fillId="14" fontId="21" numFmtId="0" xfId="0" applyAlignment="1" applyBorder="1" applyFill="1" applyFont="1">
      <alignment shrinkToFit="0" vertical="center" wrapText="1"/>
    </xf>
    <xf borderId="2" fillId="14" fontId="22" numFmtId="0" xfId="0" applyAlignment="1" applyBorder="1" applyFill="1" applyFont="1">
      <alignment shrinkToFit="0" vertical="center" wrapText="1"/>
    </xf>
    <xf borderId="0" fillId="0" fontId="21" numFmtId="0" xfId="0" applyAlignment="1" applyFont="1">
      <alignment shrinkToFit="0" vertical="center" wrapText="1"/>
    </xf>
    <xf borderId="0" fillId="0" fontId="22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4.43" defaultRowHeight="15.0"/>
  <cols>
    <col customWidth="1" min="1" max="1" width="7.0"/>
    <col customWidth="1" min="2" max="2" width="58.0"/>
    <col customWidth="1" min="3" max="3" width="54.0"/>
    <col customWidth="1" min="4" max="4" width="44.0"/>
    <col customWidth="1" min="5" max="5" width="43.0"/>
    <col customWidth="1" min="6" max="6" width="24.0"/>
    <col customWidth="1" min="7" max="7" width="16.0"/>
    <col customWidth="1" min="8" max="8" width="70.0"/>
    <col customWidth="1" min="9" max="9" width="13.0"/>
    <col customWidth="1" min="10" max="10" width="10.0"/>
    <col customWidth="1" min="11" max="11" width="14.0"/>
    <col customWidth="1" min="12" max="12" width="15.0"/>
    <col customWidth="1" min="13" max="13" width="20.0"/>
    <col customWidth="1" min="14" max="26" width="8.71"/>
  </cols>
  <sheetData>
    <row r="1" ht="39.75" customHeight="1">
      <c r="A1" s="1" t="s">
        <v>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5"/>
    </row>
    <row r="2" ht="33.75" customHeight="1">
      <c r="A2" s="6" t="s">
        <v>1</v>
      </c>
      <c r="B2" s="7" t="s">
        <v>35</v>
      </c>
      <c r="C2" s="7" t="s">
        <v>19</v>
      </c>
      <c r="D2" s="7" t="s">
        <v>40</v>
      </c>
      <c r="E2" s="7" t="s">
        <v>41</v>
      </c>
      <c r="F2" s="7" t="s">
        <v>42</v>
      </c>
      <c r="G2" s="7" t="s">
        <v>43</v>
      </c>
      <c r="H2" s="7" t="s">
        <v>44</v>
      </c>
      <c r="I2" s="6" t="s">
        <v>10</v>
      </c>
      <c r="J2" s="6" t="s">
        <v>12</v>
      </c>
      <c r="K2" s="6" t="s">
        <v>14</v>
      </c>
      <c r="L2" s="6" t="s">
        <v>45</v>
      </c>
      <c r="M2" s="6" t="s">
        <v>46</v>
      </c>
    </row>
    <row r="3" ht="27.0" customHeight="1">
      <c r="A3" s="13" t="s">
        <v>48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5"/>
    </row>
    <row r="4" ht="51.75" customHeight="1">
      <c r="A4" s="17">
        <v>1.0</v>
      </c>
      <c r="B4" s="27" t="str">
        <f t="shared" ref="B4:B7" si="1">PROPER(TRIM(SUBSTITUTE(D4," near me","")))&amp;" Canada | Call Now"</f>
        <v>Truck Tire Repair Canada | Call Now</v>
      </c>
      <c r="C4" s="34" t="str">
        <f t="shared" ref="C4:C7" si="2">"/"&amp;SUBSTITUTE(LOWER(TRIM(TRIM(SUBSTITUTE(D4," near me",""))))," ","-")</f>
        <v>/truck-tire-repair</v>
      </c>
      <c r="D4" s="37" t="s">
        <v>47</v>
      </c>
      <c r="E4" s="38" t="s">
        <v>84</v>
      </c>
      <c r="F4" s="40" t="s">
        <v>88</v>
      </c>
      <c r="G4" s="42"/>
      <c r="H4" s="38" t="s">
        <v>66</v>
      </c>
      <c r="I4" s="44">
        <v>200.0</v>
      </c>
      <c r="J4" s="45">
        <v>0.0</v>
      </c>
      <c r="K4" s="46">
        <v>0.9</v>
      </c>
      <c r="L4" s="42"/>
      <c r="M4" s="47" t="s">
        <v>104</v>
      </c>
    </row>
    <row r="5" ht="39.0" customHeight="1">
      <c r="A5" s="49">
        <v>2.0</v>
      </c>
      <c r="B5" s="50" t="str">
        <f t="shared" si="1"/>
        <v>Semi Truck Tire Repair Canada | Call Now</v>
      </c>
      <c r="C5" s="51" t="str">
        <f t="shared" si="2"/>
        <v>/semi-truck-tire-repair</v>
      </c>
      <c r="D5" s="52" t="s">
        <v>89</v>
      </c>
      <c r="E5" s="53"/>
      <c r="F5" s="40" t="s">
        <v>88</v>
      </c>
      <c r="G5" s="54"/>
      <c r="H5" s="53" t="s">
        <v>66</v>
      </c>
      <c r="I5" s="55">
        <v>80.0</v>
      </c>
      <c r="J5" s="56">
        <v>0.0</v>
      </c>
      <c r="K5" s="57">
        <v>1.0</v>
      </c>
      <c r="L5" s="54"/>
      <c r="M5" s="58" t="s">
        <v>104</v>
      </c>
    </row>
    <row r="6" ht="39.0" customHeight="1">
      <c r="A6" s="17">
        <v>3.0</v>
      </c>
      <c r="B6" s="27" t="str">
        <f t="shared" si="1"/>
        <v>Mobile Truck Tire Repair Canada | Call Now</v>
      </c>
      <c r="C6" s="34" t="str">
        <f t="shared" si="2"/>
        <v>/mobile-truck-tire-repair</v>
      </c>
      <c r="D6" s="37" t="s">
        <v>94</v>
      </c>
      <c r="E6" s="38"/>
      <c r="F6" s="40" t="s">
        <v>88</v>
      </c>
      <c r="G6" s="42"/>
      <c r="H6" s="38" t="s">
        <v>66</v>
      </c>
      <c r="I6" s="44">
        <v>80.0</v>
      </c>
      <c r="J6" s="45">
        <v>0.0</v>
      </c>
      <c r="K6" s="46">
        <v>0.8</v>
      </c>
      <c r="L6" s="42"/>
      <c r="M6" s="47" t="s">
        <v>104</v>
      </c>
    </row>
    <row r="7" ht="39.0" customHeight="1">
      <c r="A7" s="49">
        <v>4.0</v>
      </c>
      <c r="B7" s="50" t="str">
        <f t="shared" si="1"/>
        <v>Truck Roadside Assistance Canada | Call Now</v>
      </c>
      <c r="C7" s="51" t="str">
        <f t="shared" si="2"/>
        <v>/truck-roadside-assistance</v>
      </c>
      <c r="D7" s="52" t="s">
        <v>77</v>
      </c>
      <c r="E7" s="53"/>
      <c r="F7" s="59" t="s">
        <v>88</v>
      </c>
      <c r="G7" s="54"/>
      <c r="H7" s="53" t="s">
        <v>66</v>
      </c>
      <c r="I7" s="55">
        <v>100.0</v>
      </c>
      <c r="J7" s="56">
        <v>0.0</v>
      </c>
      <c r="K7" s="57">
        <v>1.3</v>
      </c>
      <c r="L7" s="54"/>
      <c r="M7" s="58" t="s">
        <v>104</v>
      </c>
    </row>
    <row r="8" ht="27.0" customHeight="1">
      <c r="A8" s="13" t="s">
        <v>154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5"/>
    </row>
    <row r="9" ht="51.75" customHeight="1">
      <c r="A9" s="17">
        <v>5.0</v>
      </c>
      <c r="B9" s="27" t="str">
        <f t="shared" ref="B9:B12" si="3">PROPER(TRIM(SUBSTITUTE(D9," near me","")))&amp;" Canada | Call Now"</f>
        <v>Emergency Tire Repair Canada | Call Now</v>
      </c>
      <c r="C9" s="34" t="str">
        <f t="shared" ref="C9:C12" si="4">"/"&amp;SUBSTITUTE(LOWER(TRIM(TRIM(SUBSTITUTE(D9," near me",""))))," ","-")</f>
        <v>/emergency-tire-repair</v>
      </c>
      <c r="D9" s="37" t="s">
        <v>144</v>
      </c>
      <c r="E9" s="38" t="s">
        <v>179</v>
      </c>
      <c r="F9" s="40" t="s">
        <v>88</v>
      </c>
      <c r="G9" s="42"/>
      <c r="H9" s="38" t="s">
        <v>66</v>
      </c>
      <c r="I9" s="44">
        <v>150.0</v>
      </c>
      <c r="J9" s="45">
        <v>0.0</v>
      </c>
      <c r="K9" s="46">
        <v>1.1</v>
      </c>
      <c r="L9" s="42"/>
      <c r="M9" s="47" t="s">
        <v>104</v>
      </c>
    </row>
    <row r="10" ht="39.0" customHeight="1">
      <c r="A10" s="49">
        <v>6.0</v>
      </c>
      <c r="B10" s="50" t="str">
        <f t="shared" si="3"/>
        <v>24 Hour Tire Repair Canada | Call Now</v>
      </c>
      <c r="C10" s="51" t="str">
        <f t="shared" si="4"/>
        <v>/24-hour-tire-repair</v>
      </c>
      <c r="D10" s="52" t="s">
        <v>184</v>
      </c>
      <c r="E10" s="53"/>
      <c r="F10" s="59" t="s">
        <v>88</v>
      </c>
      <c r="G10" s="54"/>
      <c r="H10" s="53" t="s">
        <v>66</v>
      </c>
      <c r="I10" s="55">
        <v>20.0</v>
      </c>
      <c r="J10" s="56">
        <v>0.0</v>
      </c>
      <c r="K10" s="57">
        <v>0.6</v>
      </c>
      <c r="L10" s="54"/>
      <c r="M10" s="58" t="s">
        <v>104</v>
      </c>
    </row>
    <row r="11" ht="39.0" customHeight="1">
      <c r="A11" s="17">
        <v>7.0</v>
      </c>
      <c r="B11" s="27" t="str">
        <f t="shared" si="3"/>
        <v>Roadside Tire Repair Canada | Call Now</v>
      </c>
      <c r="C11" s="34" t="str">
        <f t="shared" si="4"/>
        <v>/roadside-tire-repair</v>
      </c>
      <c r="D11" s="37" t="s">
        <v>159</v>
      </c>
      <c r="E11" s="38"/>
      <c r="F11" s="40" t="s">
        <v>88</v>
      </c>
      <c r="G11" s="42"/>
      <c r="H11" s="38" t="s">
        <v>66</v>
      </c>
      <c r="I11" s="44">
        <v>100.0</v>
      </c>
      <c r="J11" s="45">
        <v>0.0</v>
      </c>
      <c r="K11" s="46">
        <v>1.1</v>
      </c>
      <c r="L11" s="42"/>
      <c r="M11" s="47" t="s">
        <v>104</v>
      </c>
    </row>
    <row r="12" ht="51.75" customHeight="1">
      <c r="A12" s="49">
        <v>8.0</v>
      </c>
      <c r="B12" s="50" t="str">
        <f t="shared" si="3"/>
        <v>Mobile Tire Repair Canada | Call Now</v>
      </c>
      <c r="C12" s="51" t="str">
        <f t="shared" si="4"/>
        <v>/mobile-tire-repair</v>
      </c>
      <c r="D12" s="52" t="s">
        <v>133</v>
      </c>
      <c r="E12" s="53" t="s">
        <v>193</v>
      </c>
      <c r="F12" s="40" t="s">
        <v>88</v>
      </c>
      <c r="G12" s="54"/>
      <c r="H12" s="53" t="s">
        <v>66</v>
      </c>
      <c r="I12" s="55">
        <v>450.0</v>
      </c>
      <c r="J12" s="56">
        <v>8.0</v>
      </c>
      <c r="K12" s="57">
        <v>1.0</v>
      </c>
      <c r="L12" s="54"/>
      <c r="M12" s="58" t="s">
        <v>104</v>
      </c>
    </row>
    <row r="13" ht="27.0" customHeight="1">
      <c r="A13" s="13" t="s">
        <v>198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5"/>
    </row>
    <row r="14" ht="51.75" customHeight="1">
      <c r="A14" s="17">
        <v>9.0</v>
      </c>
      <c r="B14" s="27" t="str">
        <f t="shared" ref="B14:B17" si="5">PROPER(TRIM(SUBSTITUTE(D14," near me","")))&amp;" Canada | Call Now"</f>
        <v>Tire Repair Canada | Call Now</v>
      </c>
      <c r="C14" s="34" t="str">
        <f t="shared" ref="C14:C17" si="6">"/"&amp;SUBSTITUTE(LOWER(TRIM(TRIM(SUBSTITUTE(D14," near me",""))))," ","-")</f>
        <v>/tire-repair</v>
      </c>
      <c r="D14" s="37" t="s">
        <v>114</v>
      </c>
      <c r="E14" s="38" t="s">
        <v>196</v>
      </c>
      <c r="F14" s="59" t="s">
        <v>88</v>
      </c>
      <c r="G14" s="42"/>
      <c r="H14" s="38" t="s">
        <v>66</v>
      </c>
      <c r="I14" s="44">
        <v>2100.0</v>
      </c>
      <c r="J14" s="45">
        <v>0.0</v>
      </c>
      <c r="K14" s="46">
        <v>0.7</v>
      </c>
      <c r="L14" s="42"/>
      <c r="M14" s="47" t="s">
        <v>104</v>
      </c>
    </row>
    <row r="15" ht="51.75" customHeight="1">
      <c r="A15" s="49">
        <v>10.0</v>
      </c>
      <c r="B15" s="50" t="str">
        <f t="shared" si="5"/>
        <v>Flat Tire Repair Canada | Call Now</v>
      </c>
      <c r="C15" s="51" t="str">
        <f t="shared" si="6"/>
        <v>/flat-tire-repair</v>
      </c>
      <c r="D15" s="52" t="s">
        <v>120</v>
      </c>
      <c r="E15" s="53" t="s">
        <v>217</v>
      </c>
      <c r="F15" s="40" t="s">
        <v>88</v>
      </c>
      <c r="G15" s="54"/>
      <c r="H15" s="53" t="s">
        <v>66</v>
      </c>
      <c r="I15" s="55">
        <v>700.0</v>
      </c>
      <c r="J15" s="56">
        <v>2.0</v>
      </c>
      <c r="K15" s="57">
        <v>0.9</v>
      </c>
      <c r="L15" s="54"/>
      <c r="M15" s="58" t="s">
        <v>104</v>
      </c>
    </row>
    <row r="16" ht="51.75" customHeight="1">
      <c r="A16" s="17">
        <v>11.0</v>
      </c>
      <c r="B16" s="27" t="str">
        <f t="shared" si="5"/>
        <v>Tire Puncture Repair Canada | Call Now</v>
      </c>
      <c r="C16" s="34" t="str">
        <f t="shared" si="6"/>
        <v>/tire-puncture-repair</v>
      </c>
      <c r="D16" s="37" t="s">
        <v>149</v>
      </c>
      <c r="E16" s="38" t="s">
        <v>221</v>
      </c>
      <c r="F16" s="40" t="s">
        <v>88</v>
      </c>
      <c r="G16" s="42"/>
      <c r="H16" s="38" t="s">
        <v>66</v>
      </c>
      <c r="I16" s="44">
        <v>150.0</v>
      </c>
      <c r="J16" s="45">
        <v>0.0</v>
      </c>
      <c r="K16" s="46">
        <v>0.45</v>
      </c>
      <c r="L16" s="42"/>
      <c r="M16" s="47" t="s">
        <v>104</v>
      </c>
    </row>
    <row r="17" ht="39.0" customHeight="1">
      <c r="A17" s="49">
        <v>12.0</v>
      </c>
      <c r="B17" s="50" t="str">
        <f t="shared" si="5"/>
        <v>Tire Leak Repair Canada | Call Now</v>
      </c>
      <c r="C17" s="51" t="str">
        <f t="shared" si="6"/>
        <v>/tire-leak-repair</v>
      </c>
      <c r="D17" s="52" t="s">
        <v>168</v>
      </c>
      <c r="E17" s="53"/>
      <c r="F17" s="40" t="s">
        <v>88</v>
      </c>
      <c r="G17" s="54"/>
      <c r="H17" s="53" t="s">
        <v>66</v>
      </c>
      <c r="I17" s="55">
        <v>70.0</v>
      </c>
      <c r="J17" s="56">
        <v>0.0</v>
      </c>
      <c r="K17" s="57">
        <v>0.35</v>
      </c>
      <c r="L17" s="54"/>
      <c r="M17" s="58" t="s">
        <v>104</v>
      </c>
    </row>
    <row r="18" ht="27.0" customHeight="1">
      <c r="A18" s="60" t="s">
        <v>227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5"/>
    </row>
    <row r="19" ht="39.0" customHeight="1">
      <c r="A19" s="49">
        <v>13.0</v>
      </c>
      <c r="B19" s="50" t="str">
        <f t="shared" ref="B19:B30" si="7">PROPER(TRIM(SUBSTITUTE(D19," near me","")))&amp;" "&amp;F19&amp;" | Call Now"</f>
        <v>Truck Tire Repair Calgary | Call Now</v>
      </c>
      <c r="C19" s="51" t="str">
        <f t="shared" ref="C19:C30" si="8">"/"&amp;SUBSTITUTE(LOWER(TRIM(TRIM(SUBSTITUTE(D19," near me",""))&amp;" "&amp;F19))," ","-")</f>
        <v>/truck-tire-repair-calgary</v>
      </c>
      <c r="D19" s="52" t="s">
        <v>47</v>
      </c>
      <c r="E19" s="53"/>
      <c r="F19" s="61" t="s">
        <v>49</v>
      </c>
      <c r="G19" s="54"/>
      <c r="H19" s="53"/>
      <c r="I19" s="55"/>
      <c r="J19" s="56"/>
      <c r="K19" s="57"/>
      <c r="L19" s="54"/>
      <c r="M19" s="58" t="s">
        <v>104</v>
      </c>
    </row>
    <row r="20" ht="39.0" customHeight="1">
      <c r="A20" s="17">
        <v>14.0</v>
      </c>
      <c r="B20" s="27" t="str">
        <f t="shared" si="7"/>
        <v>Semi Truck Tire Repair Calgary | Call Now</v>
      </c>
      <c r="C20" s="34" t="str">
        <f t="shared" si="8"/>
        <v>/semi-truck-tire-repair-calgary</v>
      </c>
      <c r="D20" s="37" t="s">
        <v>89</v>
      </c>
      <c r="E20" s="38"/>
      <c r="F20" s="61" t="s">
        <v>49</v>
      </c>
      <c r="G20" s="42"/>
      <c r="H20" s="38"/>
      <c r="I20" s="44"/>
      <c r="J20" s="45"/>
      <c r="K20" s="46"/>
      <c r="L20" s="42"/>
      <c r="M20" s="47" t="s">
        <v>104</v>
      </c>
    </row>
    <row r="21" ht="39.0" customHeight="1">
      <c r="A21" s="49">
        <v>15.0</v>
      </c>
      <c r="B21" s="50" t="str">
        <f t="shared" si="7"/>
        <v>Mobile Truck Tire Repair Calgary | Call Now</v>
      </c>
      <c r="C21" s="51" t="str">
        <f t="shared" si="8"/>
        <v>/mobile-truck-tire-repair-calgary</v>
      </c>
      <c r="D21" s="52" t="s">
        <v>94</v>
      </c>
      <c r="E21" s="53"/>
      <c r="F21" s="61" t="s">
        <v>49</v>
      </c>
      <c r="G21" s="54"/>
      <c r="H21" s="53"/>
      <c r="I21" s="55"/>
      <c r="J21" s="56"/>
      <c r="K21" s="57"/>
      <c r="L21" s="54"/>
      <c r="M21" s="58" t="s">
        <v>104</v>
      </c>
    </row>
    <row r="22" ht="39.0" customHeight="1">
      <c r="A22" s="17">
        <v>16.0</v>
      </c>
      <c r="B22" s="27" t="str">
        <f t="shared" si="7"/>
        <v>Truck Roadside Assistance Calgary | Call Now</v>
      </c>
      <c r="C22" s="34" t="str">
        <f t="shared" si="8"/>
        <v>/truck-roadside-assistance-calgary</v>
      </c>
      <c r="D22" s="37" t="s">
        <v>77</v>
      </c>
      <c r="E22" s="38"/>
      <c r="F22" s="61" t="s">
        <v>49</v>
      </c>
      <c r="G22" s="42"/>
      <c r="H22" s="38"/>
      <c r="I22" s="44"/>
      <c r="J22" s="45"/>
      <c r="K22" s="46"/>
      <c r="L22" s="42"/>
      <c r="M22" s="47" t="s">
        <v>104</v>
      </c>
    </row>
    <row r="23" ht="39.0" customHeight="1">
      <c r="A23" s="49">
        <v>17.0</v>
      </c>
      <c r="B23" s="50" t="str">
        <f t="shared" si="7"/>
        <v>Emergency Tire Repair Calgary | Call Now</v>
      </c>
      <c r="C23" s="51" t="str">
        <f t="shared" si="8"/>
        <v>/emergency-tire-repair-calgary</v>
      </c>
      <c r="D23" s="52" t="s">
        <v>144</v>
      </c>
      <c r="E23" s="53"/>
      <c r="F23" s="61" t="s">
        <v>49</v>
      </c>
      <c r="G23" s="54"/>
      <c r="H23" s="53"/>
      <c r="I23" s="55"/>
      <c r="J23" s="56"/>
      <c r="K23" s="57"/>
      <c r="L23" s="54"/>
      <c r="M23" s="58" t="s">
        <v>104</v>
      </c>
    </row>
    <row r="24" ht="39.0" customHeight="1">
      <c r="A24" s="17">
        <v>18.0</v>
      </c>
      <c r="B24" s="27" t="str">
        <f t="shared" si="7"/>
        <v>24 Hour Tire Repair Calgary | Call Now</v>
      </c>
      <c r="C24" s="34" t="str">
        <f t="shared" si="8"/>
        <v>/24-hour-tire-repair-calgary</v>
      </c>
      <c r="D24" s="37" t="s">
        <v>184</v>
      </c>
      <c r="E24" s="38"/>
      <c r="F24" s="61" t="s">
        <v>49</v>
      </c>
      <c r="G24" s="42"/>
      <c r="H24" s="38"/>
      <c r="I24" s="44"/>
      <c r="J24" s="45"/>
      <c r="K24" s="46"/>
      <c r="L24" s="42"/>
      <c r="M24" s="47" t="s">
        <v>104</v>
      </c>
    </row>
    <row r="25" ht="39.0" customHeight="1">
      <c r="A25" s="49">
        <v>19.0</v>
      </c>
      <c r="B25" s="50" t="str">
        <f t="shared" si="7"/>
        <v>Roadside Tire Repair Calgary | Call Now</v>
      </c>
      <c r="C25" s="51" t="str">
        <f t="shared" si="8"/>
        <v>/roadside-tire-repair-calgary</v>
      </c>
      <c r="D25" s="52" t="s">
        <v>159</v>
      </c>
      <c r="E25" s="53"/>
      <c r="F25" s="61" t="s">
        <v>49</v>
      </c>
      <c r="G25" s="54"/>
      <c r="H25" s="53"/>
      <c r="I25" s="55"/>
      <c r="J25" s="56"/>
      <c r="K25" s="57"/>
      <c r="L25" s="54"/>
      <c r="M25" s="58" t="s">
        <v>104</v>
      </c>
    </row>
    <row r="26" ht="39.0" customHeight="1">
      <c r="A26" s="17">
        <v>20.0</v>
      </c>
      <c r="B26" s="27" t="str">
        <f t="shared" si="7"/>
        <v>Mobile Tire Repair Calgary | Call Now</v>
      </c>
      <c r="C26" s="34" t="str">
        <f t="shared" si="8"/>
        <v>/mobile-tire-repair-calgary</v>
      </c>
      <c r="D26" s="37" t="s">
        <v>133</v>
      </c>
      <c r="E26" s="38"/>
      <c r="F26" s="61" t="s">
        <v>49</v>
      </c>
      <c r="G26" s="42"/>
      <c r="H26" s="38"/>
      <c r="I26" s="44"/>
      <c r="J26" s="45"/>
      <c r="K26" s="46"/>
      <c r="L26" s="42"/>
      <c r="M26" s="47" t="s">
        <v>104</v>
      </c>
    </row>
    <row r="27" ht="39.0" customHeight="1">
      <c r="A27" s="49">
        <v>21.0</v>
      </c>
      <c r="B27" s="50" t="str">
        <f t="shared" si="7"/>
        <v>Tire Repair Calgary | Call Now</v>
      </c>
      <c r="C27" s="51" t="str">
        <f t="shared" si="8"/>
        <v>/tire-repair-calgary</v>
      </c>
      <c r="D27" s="52" t="s">
        <v>114</v>
      </c>
      <c r="E27" s="53"/>
      <c r="F27" s="61" t="s">
        <v>49</v>
      </c>
      <c r="G27" s="54"/>
      <c r="H27" s="53"/>
      <c r="I27" s="55"/>
      <c r="J27" s="56"/>
      <c r="K27" s="57"/>
      <c r="L27" s="54"/>
      <c r="M27" s="58" t="s">
        <v>104</v>
      </c>
    </row>
    <row r="28" ht="39.0" customHeight="1">
      <c r="A28" s="17">
        <v>22.0</v>
      </c>
      <c r="B28" s="27" t="str">
        <f t="shared" si="7"/>
        <v>Flat Tire Repair Calgary | Call Now</v>
      </c>
      <c r="C28" s="34" t="str">
        <f t="shared" si="8"/>
        <v>/flat-tire-repair-calgary</v>
      </c>
      <c r="D28" s="37" t="s">
        <v>120</v>
      </c>
      <c r="E28" s="38"/>
      <c r="F28" s="61" t="s">
        <v>49</v>
      </c>
      <c r="G28" s="42"/>
      <c r="H28" s="38"/>
      <c r="I28" s="44"/>
      <c r="J28" s="45"/>
      <c r="K28" s="46"/>
      <c r="L28" s="42"/>
      <c r="M28" s="47" t="s">
        <v>104</v>
      </c>
    </row>
    <row r="29" ht="39.0" customHeight="1">
      <c r="A29" s="49">
        <v>23.0</v>
      </c>
      <c r="B29" s="50" t="str">
        <f t="shared" si="7"/>
        <v>Tire Puncture Repair Calgary | Call Now</v>
      </c>
      <c r="C29" s="51" t="str">
        <f t="shared" si="8"/>
        <v>/tire-puncture-repair-calgary</v>
      </c>
      <c r="D29" s="52" t="s">
        <v>149</v>
      </c>
      <c r="E29" s="53"/>
      <c r="F29" s="61" t="s">
        <v>49</v>
      </c>
      <c r="G29" s="54"/>
      <c r="H29" s="53"/>
      <c r="I29" s="55"/>
      <c r="J29" s="56"/>
      <c r="K29" s="57"/>
      <c r="L29" s="54"/>
      <c r="M29" s="58" t="s">
        <v>104</v>
      </c>
    </row>
    <row r="30" ht="39.0" customHeight="1">
      <c r="A30" s="17">
        <v>24.0</v>
      </c>
      <c r="B30" s="27" t="str">
        <f t="shared" si="7"/>
        <v>Tire Leak Repair Calgary | Call Now</v>
      </c>
      <c r="C30" s="34" t="str">
        <f t="shared" si="8"/>
        <v>/tire-leak-repair-calgary</v>
      </c>
      <c r="D30" s="37" t="s">
        <v>168</v>
      </c>
      <c r="E30" s="38"/>
      <c r="F30" s="61" t="s">
        <v>49</v>
      </c>
      <c r="G30" s="42"/>
      <c r="H30" s="38"/>
      <c r="I30" s="44"/>
      <c r="J30" s="45"/>
      <c r="K30" s="46"/>
      <c r="L30" s="42"/>
      <c r="M30" s="47" t="s">
        <v>104</v>
      </c>
    </row>
    <row r="31" ht="27.0" customHeight="1">
      <c r="A31" s="60" t="s">
        <v>257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5"/>
    </row>
    <row r="32" ht="39.0" customHeight="1">
      <c r="A32" s="49">
        <v>25.0</v>
      </c>
      <c r="B32" s="50" t="str">
        <f t="shared" ref="B32:B43" si="9">PROPER(TRIM(SUBSTITUTE(D32," near me","")))&amp;" "&amp;F32&amp;" | Call Now"</f>
        <v>Truck Tire Repair Winnipeg | Call Now</v>
      </c>
      <c r="C32" s="51" t="str">
        <f t="shared" ref="C32:C43" si="10">"/"&amp;SUBSTITUTE(LOWER(TRIM(TRIM(SUBSTITUTE(D32," near me",""))&amp;" "&amp;F32))," ","-")</f>
        <v>/truck-tire-repair-winnipeg</v>
      </c>
      <c r="D32" s="52" t="s">
        <v>47</v>
      </c>
      <c r="E32" s="53"/>
      <c r="F32" s="61" t="s">
        <v>53</v>
      </c>
      <c r="G32" s="54"/>
      <c r="H32" s="53"/>
      <c r="I32" s="55"/>
      <c r="J32" s="56"/>
      <c r="K32" s="57"/>
      <c r="L32" s="54"/>
      <c r="M32" s="58" t="s">
        <v>104</v>
      </c>
    </row>
    <row r="33" ht="39.0" customHeight="1">
      <c r="A33" s="17">
        <v>26.0</v>
      </c>
      <c r="B33" s="27" t="str">
        <f t="shared" si="9"/>
        <v>Semi Truck Tire Repair Winnipeg | Call Now</v>
      </c>
      <c r="C33" s="34" t="str">
        <f t="shared" si="10"/>
        <v>/semi-truck-tire-repair-winnipeg</v>
      </c>
      <c r="D33" s="37" t="s">
        <v>89</v>
      </c>
      <c r="E33" s="38"/>
      <c r="F33" s="61" t="s">
        <v>53</v>
      </c>
      <c r="G33" s="42"/>
      <c r="H33" s="38"/>
      <c r="I33" s="44"/>
      <c r="J33" s="45"/>
      <c r="K33" s="46"/>
      <c r="L33" s="42"/>
      <c r="M33" s="47" t="s">
        <v>104</v>
      </c>
    </row>
    <row r="34" ht="39.0" customHeight="1">
      <c r="A34" s="49">
        <v>27.0</v>
      </c>
      <c r="B34" s="50" t="str">
        <f t="shared" si="9"/>
        <v>Mobile Truck Tire Repair Winnipeg | Call Now</v>
      </c>
      <c r="C34" s="51" t="str">
        <f t="shared" si="10"/>
        <v>/mobile-truck-tire-repair-winnipeg</v>
      </c>
      <c r="D34" s="52" t="s">
        <v>94</v>
      </c>
      <c r="E34" s="53"/>
      <c r="F34" s="61" t="s">
        <v>53</v>
      </c>
      <c r="G34" s="54"/>
      <c r="H34" s="53"/>
      <c r="I34" s="55"/>
      <c r="J34" s="56"/>
      <c r="K34" s="57"/>
      <c r="L34" s="54"/>
      <c r="M34" s="58" t="s">
        <v>104</v>
      </c>
    </row>
    <row r="35" ht="39.0" customHeight="1">
      <c r="A35" s="17">
        <v>28.0</v>
      </c>
      <c r="B35" s="27" t="str">
        <f t="shared" si="9"/>
        <v>Truck Roadside Assistance Winnipeg | Call Now</v>
      </c>
      <c r="C35" s="34" t="str">
        <f t="shared" si="10"/>
        <v>/truck-roadside-assistance-winnipeg</v>
      </c>
      <c r="D35" s="37" t="s">
        <v>77</v>
      </c>
      <c r="E35" s="38"/>
      <c r="F35" s="61" t="s">
        <v>53</v>
      </c>
      <c r="G35" s="42"/>
      <c r="H35" s="38"/>
      <c r="I35" s="44"/>
      <c r="J35" s="45"/>
      <c r="K35" s="46"/>
      <c r="L35" s="42"/>
      <c r="M35" s="47" t="s">
        <v>104</v>
      </c>
    </row>
    <row r="36" ht="39.0" customHeight="1">
      <c r="A36" s="49">
        <v>29.0</v>
      </c>
      <c r="B36" s="50" t="str">
        <f t="shared" si="9"/>
        <v>Emergency Tire Repair Winnipeg | Call Now</v>
      </c>
      <c r="C36" s="51" t="str">
        <f t="shared" si="10"/>
        <v>/emergency-tire-repair-winnipeg</v>
      </c>
      <c r="D36" s="52" t="s">
        <v>144</v>
      </c>
      <c r="E36" s="53"/>
      <c r="F36" s="61" t="s">
        <v>53</v>
      </c>
      <c r="G36" s="54"/>
      <c r="H36" s="53"/>
      <c r="I36" s="55"/>
      <c r="J36" s="56"/>
      <c r="K36" s="57"/>
      <c r="L36" s="54"/>
      <c r="M36" s="58" t="s">
        <v>104</v>
      </c>
    </row>
    <row r="37" ht="39.0" customHeight="1">
      <c r="A37" s="17">
        <v>30.0</v>
      </c>
      <c r="B37" s="27" t="str">
        <f t="shared" si="9"/>
        <v>24 Hour Tire Repair Winnipeg | Call Now</v>
      </c>
      <c r="C37" s="34" t="str">
        <f t="shared" si="10"/>
        <v>/24-hour-tire-repair-winnipeg</v>
      </c>
      <c r="D37" s="37" t="s">
        <v>184</v>
      </c>
      <c r="E37" s="38"/>
      <c r="F37" s="61" t="s">
        <v>53</v>
      </c>
      <c r="G37" s="42"/>
      <c r="H37" s="38"/>
      <c r="I37" s="44"/>
      <c r="J37" s="45"/>
      <c r="K37" s="46"/>
      <c r="L37" s="42"/>
      <c r="M37" s="47" t="s">
        <v>104</v>
      </c>
    </row>
    <row r="38" ht="39.0" customHeight="1">
      <c r="A38" s="49">
        <v>31.0</v>
      </c>
      <c r="B38" s="50" t="str">
        <f t="shared" si="9"/>
        <v>Roadside Tire Repair Winnipeg | Call Now</v>
      </c>
      <c r="C38" s="51" t="str">
        <f t="shared" si="10"/>
        <v>/roadside-tire-repair-winnipeg</v>
      </c>
      <c r="D38" s="52" t="s">
        <v>159</v>
      </c>
      <c r="E38" s="53"/>
      <c r="F38" s="61" t="s">
        <v>53</v>
      </c>
      <c r="G38" s="54"/>
      <c r="H38" s="53"/>
      <c r="I38" s="55"/>
      <c r="J38" s="56"/>
      <c r="K38" s="57"/>
      <c r="L38" s="54"/>
      <c r="M38" s="58" t="s">
        <v>104</v>
      </c>
    </row>
    <row r="39" ht="39.0" customHeight="1">
      <c r="A39" s="17">
        <v>32.0</v>
      </c>
      <c r="B39" s="27" t="str">
        <f t="shared" si="9"/>
        <v>Mobile Tire Repair Winnipeg | Call Now</v>
      </c>
      <c r="C39" s="34" t="str">
        <f t="shared" si="10"/>
        <v>/mobile-tire-repair-winnipeg</v>
      </c>
      <c r="D39" s="37" t="s">
        <v>133</v>
      </c>
      <c r="E39" s="38"/>
      <c r="F39" s="61" t="s">
        <v>53</v>
      </c>
      <c r="G39" s="42"/>
      <c r="H39" s="38"/>
      <c r="I39" s="44"/>
      <c r="J39" s="45"/>
      <c r="K39" s="46"/>
      <c r="L39" s="42"/>
      <c r="M39" s="47" t="s">
        <v>104</v>
      </c>
    </row>
    <row r="40" ht="39.0" customHeight="1">
      <c r="A40" s="49">
        <v>33.0</v>
      </c>
      <c r="B40" s="50" t="str">
        <f t="shared" si="9"/>
        <v>Tire Repair Winnipeg | Call Now</v>
      </c>
      <c r="C40" s="51" t="str">
        <f t="shared" si="10"/>
        <v>/tire-repair-winnipeg</v>
      </c>
      <c r="D40" s="52" t="s">
        <v>114</v>
      </c>
      <c r="E40" s="53"/>
      <c r="F40" s="61" t="s">
        <v>53</v>
      </c>
      <c r="G40" s="54"/>
      <c r="H40" s="53"/>
      <c r="I40" s="55"/>
      <c r="J40" s="56"/>
      <c r="K40" s="57"/>
      <c r="L40" s="54"/>
      <c r="M40" s="58" t="s">
        <v>104</v>
      </c>
    </row>
    <row r="41" ht="39.0" customHeight="1">
      <c r="A41" s="17">
        <v>34.0</v>
      </c>
      <c r="B41" s="27" t="str">
        <f t="shared" si="9"/>
        <v>Flat Tire Repair Winnipeg | Call Now</v>
      </c>
      <c r="C41" s="34" t="str">
        <f t="shared" si="10"/>
        <v>/flat-tire-repair-winnipeg</v>
      </c>
      <c r="D41" s="37" t="s">
        <v>120</v>
      </c>
      <c r="E41" s="38"/>
      <c r="F41" s="61" t="s">
        <v>53</v>
      </c>
      <c r="G41" s="42"/>
      <c r="H41" s="38"/>
      <c r="I41" s="44"/>
      <c r="J41" s="45"/>
      <c r="K41" s="46"/>
      <c r="L41" s="42"/>
      <c r="M41" s="47" t="s">
        <v>104</v>
      </c>
    </row>
    <row r="42" ht="39.0" customHeight="1">
      <c r="A42" s="49">
        <v>35.0</v>
      </c>
      <c r="B42" s="50" t="str">
        <f t="shared" si="9"/>
        <v>Tire Puncture Repair Winnipeg | Call Now</v>
      </c>
      <c r="C42" s="51" t="str">
        <f t="shared" si="10"/>
        <v>/tire-puncture-repair-winnipeg</v>
      </c>
      <c r="D42" s="52" t="s">
        <v>149</v>
      </c>
      <c r="E42" s="53"/>
      <c r="F42" s="61" t="s">
        <v>53</v>
      </c>
      <c r="G42" s="54"/>
      <c r="H42" s="53"/>
      <c r="I42" s="55"/>
      <c r="J42" s="56"/>
      <c r="K42" s="57"/>
      <c r="L42" s="54"/>
      <c r="M42" s="58" t="s">
        <v>104</v>
      </c>
    </row>
    <row r="43" ht="39.0" customHeight="1">
      <c r="A43" s="17">
        <v>36.0</v>
      </c>
      <c r="B43" s="27" t="str">
        <f t="shared" si="9"/>
        <v>Tire Leak Repair Winnipeg | Call Now</v>
      </c>
      <c r="C43" s="34" t="str">
        <f t="shared" si="10"/>
        <v>/tire-leak-repair-winnipeg</v>
      </c>
      <c r="D43" s="37" t="s">
        <v>168</v>
      </c>
      <c r="E43" s="38"/>
      <c r="F43" s="61" t="s">
        <v>53</v>
      </c>
      <c r="G43" s="42"/>
      <c r="H43" s="38"/>
      <c r="I43" s="44"/>
      <c r="J43" s="45"/>
      <c r="K43" s="46"/>
      <c r="L43" s="42"/>
      <c r="M43" s="47" t="s">
        <v>104</v>
      </c>
    </row>
    <row r="44" ht="27.0" customHeight="1">
      <c r="A44" s="60" t="s">
        <v>310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5"/>
    </row>
    <row r="45" ht="39.0" customHeight="1">
      <c r="A45" s="49">
        <v>37.0</v>
      </c>
      <c r="B45" s="50" t="str">
        <f t="shared" ref="B45:B56" si="11">PROPER(TRIM(SUBSTITUTE(D45," near me","")))&amp;" "&amp;F45&amp;" | Call Now"</f>
        <v>Truck Tire Repair Edmonton | Call Now</v>
      </c>
      <c r="C45" s="51" t="str">
        <f t="shared" ref="C45:C56" si="12">"/"&amp;SUBSTITUTE(LOWER(TRIM(TRIM(SUBSTITUTE(D45," near me",""))&amp;" "&amp;F45))," ","-")</f>
        <v>/truck-tire-repair-edmonton</v>
      </c>
      <c r="D45" s="52" t="s">
        <v>47</v>
      </c>
      <c r="E45" s="53"/>
      <c r="F45" s="61" t="s">
        <v>54</v>
      </c>
      <c r="G45" s="54"/>
      <c r="H45" s="53"/>
      <c r="I45" s="55"/>
      <c r="J45" s="56"/>
      <c r="K45" s="57"/>
      <c r="L45" s="54"/>
      <c r="M45" s="58" t="s">
        <v>104</v>
      </c>
    </row>
    <row r="46" ht="39.0" customHeight="1">
      <c r="A46" s="17">
        <v>38.0</v>
      </c>
      <c r="B46" s="27" t="str">
        <f t="shared" si="11"/>
        <v>Semi Truck Tire Repair Edmonton | Call Now</v>
      </c>
      <c r="C46" s="34" t="str">
        <f t="shared" si="12"/>
        <v>/semi-truck-tire-repair-edmonton</v>
      </c>
      <c r="D46" s="37" t="s">
        <v>89</v>
      </c>
      <c r="E46" s="38"/>
      <c r="F46" s="61" t="s">
        <v>54</v>
      </c>
      <c r="G46" s="42"/>
      <c r="H46" s="38"/>
      <c r="I46" s="44"/>
      <c r="J46" s="45"/>
      <c r="K46" s="46"/>
      <c r="L46" s="42"/>
      <c r="M46" s="47" t="s">
        <v>104</v>
      </c>
    </row>
    <row r="47" ht="39.0" customHeight="1">
      <c r="A47" s="49">
        <v>39.0</v>
      </c>
      <c r="B47" s="50" t="str">
        <f t="shared" si="11"/>
        <v>Mobile Truck Tire Repair Edmonton | Call Now</v>
      </c>
      <c r="C47" s="51" t="str">
        <f t="shared" si="12"/>
        <v>/mobile-truck-tire-repair-edmonton</v>
      </c>
      <c r="D47" s="52" t="s">
        <v>94</v>
      </c>
      <c r="E47" s="53"/>
      <c r="F47" s="61" t="s">
        <v>54</v>
      </c>
      <c r="G47" s="54"/>
      <c r="H47" s="53"/>
      <c r="I47" s="55"/>
      <c r="J47" s="56"/>
      <c r="K47" s="57"/>
      <c r="L47" s="54"/>
      <c r="M47" s="58" t="s">
        <v>104</v>
      </c>
    </row>
    <row r="48" ht="39.0" customHeight="1">
      <c r="A48" s="17">
        <v>40.0</v>
      </c>
      <c r="B48" s="27" t="str">
        <f t="shared" si="11"/>
        <v>Truck Roadside Assistance Edmonton | Call Now</v>
      </c>
      <c r="C48" s="34" t="str">
        <f t="shared" si="12"/>
        <v>/truck-roadside-assistance-edmonton</v>
      </c>
      <c r="D48" s="37" t="s">
        <v>77</v>
      </c>
      <c r="E48" s="38"/>
      <c r="F48" s="61" t="s">
        <v>54</v>
      </c>
      <c r="G48" s="42"/>
      <c r="H48" s="38"/>
      <c r="I48" s="44"/>
      <c r="J48" s="45"/>
      <c r="K48" s="46"/>
      <c r="L48" s="42"/>
      <c r="M48" s="47" t="s">
        <v>104</v>
      </c>
    </row>
    <row r="49" ht="39.0" customHeight="1">
      <c r="A49" s="49">
        <v>41.0</v>
      </c>
      <c r="B49" s="50" t="str">
        <f t="shared" si="11"/>
        <v>Emergency Tire Repair Edmonton | Call Now</v>
      </c>
      <c r="C49" s="51" t="str">
        <f t="shared" si="12"/>
        <v>/emergency-tire-repair-edmonton</v>
      </c>
      <c r="D49" s="52" t="s">
        <v>144</v>
      </c>
      <c r="E49" s="53"/>
      <c r="F49" s="61" t="s">
        <v>54</v>
      </c>
      <c r="G49" s="54"/>
      <c r="H49" s="53"/>
      <c r="I49" s="55"/>
      <c r="J49" s="56"/>
      <c r="K49" s="57"/>
      <c r="L49" s="54"/>
      <c r="M49" s="58" t="s">
        <v>104</v>
      </c>
    </row>
    <row r="50" ht="39.0" customHeight="1">
      <c r="A50" s="17">
        <v>42.0</v>
      </c>
      <c r="B50" s="27" t="str">
        <f t="shared" si="11"/>
        <v>24 Hour Tire Repair Edmonton | Call Now</v>
      </c>
      <c r="C50" s="34" t="str">
        <f t="shared" si="12"/>
        <v>/24-hour-tire-repair-edmonton</v>
      </c>
      <c r="D50" s="37" t="s">
        <v>184</v>
      </c>
      <c r="E50" s="38"/>
      <c r="F50" s="61" t="s">
        <v>54</v>
      </c>
      <c r="G50" s="42"/>
      <c r="H50" s="38"/>
      <c r="I50" s="44"/>
      <c r="J50" s="45"/>
      <c r="K50" s="46"/>
      <c r="L50" s="42"/>
      <c r="M50" s="47" t="s">
        <v>104</v>
      </c>
    </row>
    <row r="51" ht="39.0" customHeight="1">
      <c r="A51" s="49">
        <v>43.0</v>
      </c>
      <c r="B51" s="50" t="str">
        <f t="shared" si="11"/>
        <v>Roadside Tire Repair Edmonton | Call Now</v>
      </c>
      <c r="C51" s="51" t="str">
        <f t="shared" si="12"/>
        <v>/roadside-tire-repair-edmonton</v>
      </c>
      <c r="D51" s="52" t="s">
        <v>159</v>
      </c>
      <c r="E51" s="53"/>
      <c r="F51" s="61" t="s">
        <v>54</v>
      </c>
      <c r="G51" s="54"/>
      <c r="H51" s="53"/>
      <c r="I51" s="55"/>
      <c r="J51" s="56"/>
      <c r="K51" s="57"/>
      <c r="L51" s="54"/>
      <c r="M51" s="58" t="s">
        <v>104</v>
      </c>
    </row>
    <row r="52" ht="39.0" customHeight="1">
      <c r="A52" s="17">
        <v>44.0</v>
      </c>
      <c r="B52" s="27" t="str">
        <f t="shared" si="11"/>
        <v>Mobile Tire Repair Edmonton | Call Now</v>
      </c>
      <c r="C52" s="34" t="str">
        <f t="shared" si="12"/>
        <v>/mobile-tire-repair-edmonton</v>
      </c>
      <c r="D52" s="37" t="s">
        <v>133</v>
      </c>
      <c r="E52" s="38"/>
      <c r="F52" s="61" t="s">
        <v>54</v>
      </c>
      <c r="G52" s="42"/>
      <c r="H52" s="38"/>
      <c r="I52" s="44"/>
      <c r="J52" s="45"/>
      <c r="K52" s="46"/>
      <c r="L52" s="42"/>
      <c r="M52" s="47" t="s">
        <v>104</v>
      </c>
    </row>
    <row r="53" ht="39.0" customHeight="1">
      <c r="A53" s="49">
        <v>45.0</v>
      </c>
      <c r="B53" s="50" t="str">
        <f t="shared" si="11"/>
        <v>Tire Repair Edmonton | Call Now</v>
      </c>
      <c r="C53" s="51" t="str">
        <f t="shared" si="12"/>
        <v>/tire-repair-edmonton</v>
      </c>
      <c r="D53" s="52" t="s">
        <v>114</v>
      </c>
      <c r="E53" s="53"/>
      <c r="F53" s="61" t="s">
        <v>54</v>
      </c>
      <c r="G53" s="54"/>
      <c r="H53" s="53"/>
      <c r="I53" s="55"/>
      <c r="J53" s="56"/>
      <c r="K53" s="57"/>
      <c r="L53" s="54"/>
      <c r="M53" s="58" t="s">
        <v>104</v>
      </c>
    </row>
    <row r="54" ht="39.0" customHeight="1">
      <c r="A54" s="17">
        <v>46.0</v>
      </c>
      <c r="B54" s="27" t="str">
        <f t="shared" si="11"/>
        <v>Flat Tire Repair Edmonton | Call Now</v>
      </c>
      <c r="C54" s="34" t="str">
        <f t="shared" si="12"/>
        <v>/flat-tire-repair-edmonton</v>
      </c>
      <c r="D54" s="37" t="s">
        <v>120</v>
      </c>
      <c r="E54" s="38"/>
      <c r="F54" s="61" t="s">
        <v>54</v>
      </c>
      <c r="G54" s="42"/>
      <c r="H54" s="38"/>
      <c r="I54" s="44"/>
      <c r="J54" s="45"/>
      <c r="K54" s="46"/>
      <c r="L54" s="42"/>
      <c r="M54" s="47" t="s">
        <v>104</v>
      </c>
    </row>
    <row r="55" ht="39.0" customHeight="1">
      <c r="A55" s="49">
        <v>47.0</v>
      </c>
      <c r="B55" s="50" t="str">
        <f t="shared" si="11"/>
        <v>Tire Puncture Repair Edmonton | Call Now</v>
      </c>
      <c r="C55" s="51" t="str">
        <f t="shared" si="12"/>
        <v>/tire-puncture-repair-edmonton</v>
      </c>
      <c r="D55" s="52" t="s">
        <v>149</v>
      </c>
      <c r="E55" s="53"/>
      <c r="F55" s="61" t="s">
        <v>54</v>
      </c>
      <c r="G55" s="54"/>
      <c r="H55" s="53"/>
      <c r="I55" s="55"/>
      <c r="J55" s="56"/>
      <c r="K55" s="57"/>
      <c r="L55" s="54"/>
      <c r="M55" s="58" t="s">
        <v>104</v>
      </c>
    </row>
    <row r="56" ht="39.0" customHeight="1">
      <c r="A56" s="17">
        <v>48.0</v>
      </c>
      <c r="B56" s="27" t="str">
        <f t="shared" si="11"/>
        <v>Tire Leak Repair Edmonton | Call Now</v>
      </c>
      <c r="C56" s="34" t="str">
        <f t="shared" si="12"/>
        <v>/tire-leak-repair-edmonton</v>
      </c>
      <c r="D56" s="37" t="s">
        <v>168</v>
      </c>
      <c r="E56" s="38"/>
      <c r="F56" s="61" t="s">
        <v>54</v>
      </c>
      <c r="G56" s="42"/>
      <c r="H56" s="38"/>
      <c r="I56" s="44"/>
      <c r="J56" s="45"/>
      <c r="K56" s="46"/>
      <c r="L56" s="42"/>
      <c r="M56" s="47" t="s">
        <v>104</v>
      </c>
    </row>
    <row r="57" ht="27.0" customHeight="1">
      <c r="A57" s="60" t="s">
        <v>311</v>
      </c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5"/>
    </row>
    <row r="58" ht="39.0" customHeight="1">
      <c r="A58" s="49">
        <v>49.0</v>
      </c>
      <c r="B58" s="50" t="str">
        <f t="shared" ref="B58:B69" si="13">PROPER(TRIM(SUBSTITUTE(D58," near me","")))&amp;" "&amp;F58&amp;" | Call Now"</f>
        <v>Truck Tire Repair Ottawa | Call Now</v>
      </c>
      <c r="C58" s="51" t="str">
        <f t="shared" ref="C58:C69" si="14">"/"&amp;SUBSTITUTE(LOWER(TRIM(TRIM(SUBSTITUTE(D58," near me",""))&amp;" "&amp;F58))," ","-")</f>
        <v>/truck-tire-repair-ottawa</v>
      </c>
      <c r="D58" s="52" t="s">
        <v>47</v>
      </c>
      <c r="E58" s="53"/>
      <c r="F58" s="61" t="s">
        <v>57</v>
      </c>
      <c r="G58" s="54"/>
      <c r="H58" s="53"/>
      <c r="I58" s="55"/>
      <c r="J58" s="56"/>
      <c r="K58" s="57"/>
      <c r="L58" s="54"/>
      <c r="M58" s="58" t="s">
        <v>104</v>
      </c>
    </row>
    <row r="59" ht="39.0" customHeight="1">
      <c r="A59" s="17">
        <v>50.0</v>
      </c>
      <c r="B59" s="27" t="str">
        <f t="shared" si="13"/>
        <v>Semi Truck Tire Repair Ottawa | Call Now</v>
      </c>
      <c r="C59" s="34" t="str">
        <f t="shared" si="14"/>
        <v>/semi-truck-tire-repair-ottawa</v>
      </c>
      <c r="D59" s="37" t="s">
        <v>89</v>
      </c>
      <c r="E59" s="38"/>
      <c r="F59" s="61" t="s">
        <v>57</v>
      </c>
      <c r="G59" s="42"/>
      <c r="H59" s="38"/>
      <c r="I59" s="44"/>
      <c r="J59" s="45"/>
      <c r="K59" s="46"/>
      <c r="L59" s="42"/>
      <c r="M59" s="47" t="s">
        <v>104</v>
      </c>
    </row>
    <row r="60" ht="39.0" customHeight="1">
      <c r="A60" s="49">
        <v>51.0</v>
      </c>
      <c r="B60" s="50" t="str">
        <f t="shared" si="13"/>
        <v>Mobile Truck Tire Repair Ottawa | Call Now</v>
      </c>
      <c r="C60" s="51" t="str">
        <f t="shared" si="14"/>
        <v>/mobile-truck-tire-repair-ottawa</v>
      </c>
      <c r="D60" s="52" t="s">
        <v>94</v>
      </c>
      <c r="E60" s="53"/>
      <c r="F60" s="61" t="s">
        <v>57</v>
      </c>
      <c r="G60" s="54"/>
      <c r="H60" s="53"/>
      <c r="I60" s="55"/>
      <c r="J60" s="56"/>
      <c r="K60" s="57"/>
      <c r="L60" s="54"/>
      <c r="M60" s="58" t="s">
        <v>104</v>
      </c>
    </row>
    <row r="61" ht="39.0" customHeight="1">
      <c r="A61" s="17">
        <v>52.0</v>
      </c>
      <c r="B61" s="27" t="str">
        <f t="shared" si="13"/>
        <v>Truck Roadside Assistance Ottawa | Call Now</v>
      </c>
      <c r="C61" s="34" t="str">
        <f t="shared" si="14"/>
        <v>/truck-roadside-assistance-ottawa</v>
      </c>
      <c r="D61" s="37" t="s">
        <v>77</v>
      </c>
      <c r="E61" s="38"/>
      <c r="F61" s="61" t="s">
        <v>57</v>
      </c>
      <c r="G61" s="42"/>
      <c r="H61" s="38"/>
      <c r="I61" s="44"/>
      <c r="J61" s="45"/>
      <c r="K61" s="46"/>
      <c r="L61" s="42"/>
      <c r="M61" s="47" t="s">
        <v>104</v>
      </c>
    </row>
    <row r="62" ht="39.0" customHeight="1">
      <c r="A62" s="49">
        <v>53.0</v>
      </c>
      <c r="B62" s="50" t="str">
        <f t="shared" si="13"/>
        <v>Emergency Tire Repair Ottawa | Call Now</v>
      </c>
      <c r="C62" s="51" t="str">
        <f t="shared" si="14"/>
        <v>/emergency-tire-repair-ottawa</v>
      </c>
      <c r="D62" s="52" t="s">
        <v>144</v>
      </c>
      <c r="E62" s="53"/>
      <c r="F62" s="61" t="s">
        <v>57</v>
      </c>
      <c r="G62" s="54"/>
      <c r="H62" s="53"/>
      <c r="I62" s="55"/>
      <c r="J62" s="56"/>
      <c r="K62" s="57"/>
      <c r="L62" s="54"/>
      <c r="M62" s="58" t="s">
        <v>104</v>
      </c>
    </row>
    <row r="63" ht="39.0" customHeight="1">
      <c r="A63" s="17">
        <v>54.0</v>
      </c>
      <c r="B63" s="27" t="str">
        <f t="shared" si="13"/>
        <v>24 Hour Tire Repair Ottawa | Call Now</v>
      </c>
      <c r="C63" s="34" t="str">
        <f t="shared" si="14"/>
        <v>/24-hour-tire-repair-ottawa</v>
      </c>
      <c r="D63" s="37" t="s">
        <v>184</v>
      </c>
      <c r="E63" s="38"/>
      <c r="F63" s="61" t="s">
        <v>57</v>
      </c>
      <c r="G63" s="42"/>
      <c r="H63" s="38"/>
      <c r="I63" s="44"/>
      <c r="J63" s="45"/>
      <c r="K63" s="46"/>
      <c r="L63" s="42"/>
      <c r="M63" s="47" t="s">
        <v>104</v>
      </c>
    </row>
    <row r="64" ht="39.0" customHeight="1">
      <c r="A64" s="49">
        <v>55.0</v>
      </c>
      <c r="B64" s="50" t="str">
        <f t="shared" si="13"/>
        <v>Roadside Tire Repair Ottawa | Call Now</v>
      </c>
      <c r="C64" s="51" t="str">
        <f t="shared" si="14"/>
        <v>/roadside-tire-repair-ottawa</v>
      </c>
      <c r="D64" s="52" t="s">
        <v>159</v>
      </c>
      <c r="E64" s="53"/>
      <c r="F64" s="61" t="s">
        <v>57</v>
      </c>
      <c r="G64" s="54"/>
      <c r="H64" s="53"/>
      <c r="I64" s="55"/>
      <c r="J64" s="56"/>
      <c r="K64" s="57"/>
      <c r="L64" s="54"/>
      <c r="M64" s="58" t="s">
        <v>104</v>
      </c>
    </row>
    <row r="65" ht="39.0" customHeight="1">
      <c r="A65" s="17">
        <v>56.0</v>
      </c>
      <c r="B65" s="27" t="str">
        <f t="shared" si="13"/>
        <v>Mobile Tire Repair Ottawa | Call Now</v>
      </c>
      <c r="C65" s="34" t="str">
        <f t="shared" si="14"/>
        <v>/mobile-tire-repair-ottawa</v>
      </c>
      <c r="D65" s="37" t="s">
        <v>133</v>
      </c>
      <c r="E65" s="38"/>
      <c r="F65" s="61" t="s">
        <v>57</v>
      </c>
      <c r="G65" s="42"/>
      <c r="H65" s="38"/>
      <c r="I65" s="44"/>
      <c r="J65" s="45"/>
      <c r="K65" s="46"/>
      <c r="L65" s="42"/>
      <c r="M65" s="47" t="s">
        <v>104</v>
      </c>
    </row>
    <row r="66" ht="39.0" customHeight="1">
      <c r="A66" s="49">
        <v>57.0</v>
      </c>
      <c r="B66" s="50" t="str">
        <f t="shared" si="13"/>
        <v>Tire Repair Ottawa | Call Now</v>
      </c>
      <c r="C66" s="51" t="str">
        <f t="shared" si="14"/>
        <v>/tire-repair-ottawa</v>
      </c>
      <c r="D66" s="52" t="s">
        <v>114</v>
      </c>
      <c r="E66" s="53"/>
      <c r="F66" s="61" t="s">
        <v>57</v>
      </c>
      <c r="G66" s="54"/>
      <c r="H66" s="53"/>
      <c r="I66" s="55"/>
      <c r="J66" s="56"/>
      <c r="K66" s="57"/>
      <c r="L66" s="54"/>
      <c r="M66" s="58" t="s">
        <v>104</v>
      </c>
    </row>
    <row r="67" ht="39.0" customHeight="1">
      <c r="A67" s="17">
        <v>58.0</v>
      </c>
      <c r="B67" s="27" t="str">
        <f t="shared" si="13"/>
        <v>Flat Tire Repair Ottawa | Call Now</v>
      </c>
      <c r="C67" s="34" t="str">
        <f t="shared" si="14"/>
        <v>/flat-tire-repair-ottawa</v>
      </c>
      <c r="D67" s="37" t="s">
        <v>120</v>
      </c>
      <c r="E67" s="38"/>
      <c r="F67" s="61" t="s">
        <v>57</v>
      </c>
      <c r="G67" s="42"/>
      <c r="H67" s="38"/>
      <c r="I67" s="44"/>
      <c r="J67" s="45"/>
      <c r="K67" s="46"/>
      <c r="L67" s="42"/>
      <c r="M67" s="47" t="s">
        <v>104</v>
      </c>
    </row>
    <row r="68" ht="39.0" customHeight="1">
      <c r="A68" s="49">
        <v>59.0</v>
      </c>
      <c r="B68" s="50" t="str">
        <f t="shared" si="13"/>
        <v>Tire Puncture Repair Ottawa | Call Now</v>
      </c>
      <c r="C68" s="51" t="str">
        <f t="shared" si="14"/>
        <v>/tire-puncture-repair-ottawa</v>
      </c>
      <c r="D68" s="52" t="s">
        <v>149</v>
      </c>
      <c r="E68" s="53"/>
      <c r="F68" s="61" t="s">
        <v>57</v>
      </c>
      <c r="G68" s="54"/>
      <c r="H68" s="53"/>
      <c r="I68" s="55"/>
      <c r="J68" s="56"/>
      <c r="K68" s="57"/>
      <c r="L68" s="54"/>
      <c r="M68" s="58" t="s">
        <v>104</v>
      </c>
    </row>
    <row r="69" ht="39.0" customHeight="1">
      <c r="A69" s="17">
        <v>60.0</v>
      </c>
      <c r="B69" s="27" t="str">
        <f t="shared" si="13"/>
        <v>Tire Leak Repair Ottawa | Call Now</v>
      </c>
      <c r="C69" s="34" t="str">
        <f t="shared" si="14"/>
        <v>/tire-leak-repair-ottawa</v>
      </c>
      <c r="D69" s="37" t="s">
        <v>168</v>
      </c>
      <c r="E69" s="38"/>
      <c r="F69" s="61" t="s">
        <v>57</v>
      </c>
      <c r="G69" s="42"/>
      <c r="H69" s="38"/>
      <c r="I69" s="44"/>
      <c r="J69" s="45"/>
      <c r="K69" s="46"/>
      <c r="L69" s="42"/>
      <c r="M69" s="47" t="s">
        <v>104</v>
      </c>
    </row>
    <row r="70" ht="27.0" customHeight="1">
      <c r="A70" s="60" t="s">
        <v>312</v>
      </c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5"/>
    </row>
    <row r="71" ht="39.0" customHeight="1">
      <c r="A71" s="49">
        <v>61.0</v>
      </c>
      <c r="B71" s="50" t="str">
        <f t="shared" ref="B71:B82" si="15">PROPER(TRIM(SUBSTITUTE(D71," near me","")))&amp;" "&amp;F71&amp;" | Call Now"</f>
        <v>Truck Tire Repair Montreal | Call Now</v>
      </c>
      <c r="C71" s="51" t="str">
        <f t="shared" ref="C71:C82" si="16">"/"&amp;SUBSTITUTE(LOWER(TRIM(TRIM(SUBSTITUTE(D71," near me",""))&amp;" "&amp;F71))," ","-")</f>
        <v>/truck-tire-repair-montreal</v>
      </c>
      <c r="D71" s="52" t="s">
        <v>47</v>
      </c>
      <c r="E71" s="53"/>
      <c r="F71" s="61" t="s">
        <v>59</v>
      </c>
      <c r="G71" s="54"/>
      <c r="H71" s="53"/>
      <c r="I71" s="55"/>
      <c r="J71" s="56"/>
      <c r="K71" s="57"/>
      <c r="L71" s="54"/>
      <c r="M71" s="58" t="s">
        <v>104</v>
      </c>
    </row>
    <row r="72" ht="39.0" customHeight="1">
      <c r="A72" s="17">
        <v>62.0</v>
      </c>
      <c r="B72" s="27" t="str">
        <f t="shared" si="15"/>
        <v>Semi Truck Tire Repair Montreal | Call Now</v>
      </c>
      <c r="C72" s="34" t="str">
        <f t="shared" si="16"/>
        <v>/semi-truck-tire-repair-montreal</v>
      </c>
      <c r="D72" s="37" t="s">
        <v>89</v>
      </c>
      <c r="E72" s="38"/>
      <c r="F72" s="61" t="s">
        <v>59</v>
      </c>
      <c r="G72" s="42"/>
      <c r="H72" s="38"/>
      <c r="I72" s="44"/>
      <c r="J72" s="45"/>
      <c r="K72" s="46"/>
      <c r="L72" s="42"/>
      <c r="M72" s="47" t="s">
        <v>104</v>
      </c>
    </row>
    <row r="73" ht="39.0" customHeight="1">
      <c r="A73" s="49">
        <v>63.0</v>
      </c>
      <c r="B73" s="50" t="str">
        <f t="shared" si="15"/>
        <v>Mobile Truck Tire Repair Montreal | Call Now</v>
      </c>
      <c r="C73" s="51" t="str">
        <f t="shared" si="16"/>
        <v>/mobile-truck-tire-repair-montreal</v>
      </c>
      <c r="D73" s="52" t="s">
        <v>94</v>
      </c>
      <c r="E73" s="53"/>
      <c r="F73" s="61" t="s">
        <v>59</v>
      </c>
      <c r="G73" s="54"/>
      <c r="H73" s="53"/>
      <c r="I73" s="55"/>
      <c r="J73" s="56"/>
      <c r="K73" s="57"/>
      <c r="L73" s="54"/>
      <c r="M73" s="58" t="s">
        <v>104</v>
      </c>
    </row>
    <row r="74" ht="39.0" customHeight="1">
      <c r="A74" s="17">
        <v>64.0</v>
      </c>
      <c r="B74" s="27" t="str">
        <f t="shared" si="15"/>
        <v>Truck Roadside Assistance Montreal | Call Now</v>
      </c>
      <c r="C74" s="34" t="str">
        <f t="shared" si="16"/>
        <v>/truck-roadside-assistance-montreal</v>
      </c>
      <c r="D74" s="37" t="s">
        <v>77</v>
      </c>
      <c r="E74" s="38"/>
      <c r="F74" s="61" t="s">
        <v>59</v>
      </c>
      <c r="G74" s="42"/>
      <c r="H74" s="38"/>
      <c r="I74" s="44"/>
      <c r="J74" s="45"/>
      <c r="K74" s="46"/>
      <c r="L74" s="42"/>
      <c r="M74" s="47" t="s">
        <v>104</v>
      </c>
    </row>
    <row r="75" ht="39.0" customHeight="1">
      <c r="A75" s="49">
        <v>65.0</v>
      </c>
      <c r="B75" s="50" t="str">
        <f t="shared" si="15"/>
        <v>Emergency Tire Repair Montreal | Call Now</v>
      </c>
      <c r="C75" s="51" t="str">
        <f t="shared" si="16"/>
        <v>/emergency-tire-repair-montreal</v>
      </c>
      <c r="D75" s="52" t="s">
        <v>144</v>
      </c>
      <c r="E75" s="53"/>
      <c r="F75" s="61" t="s">
        <v>59</v>
      </c>
      <c r="G75" s="54"/>
      <c r="H75" s="53"/>
      <c r="I75" s="55"/>
      <c r="J75" s="56"/>
      <c r="K75" s="57"/>
      <c r="L75" s="54"/>
      <c r="M75" s="58" t="s">
        <v>104</v>
      </c>
    </row>
    <row r="76" ht="39.0" customHeight="1">
      <c r="A76" s="17">
        <v>66.0</v>
      </c>
      <c r="B76" s="27" t="str">
        <f t="shared" si="15"/>
        <v>24 Hour Tire Repair Montreal | Call Now</v>
      </c>
      <c r="C76" s="34" t="str">
        <f t="shared" si="16"/>
        <v>/24-hour-tire-repair-montreal</v>
      </c>
      <c r="D76" s="37" t="s">
        <v>184</v>
      </c>
      <c r="E76" s="38"/>
      <c r="F76" s="61" t="s">
        <v>59</v>
      </c>
      <c r="G76" s="42"/>
      <c r="H76" s="38"/>
      <c r="I76" s="44"/>
      <c r="J76" s="45"/>
      <c r="K76" s="46"/>
      <c r="L76" s="42"/>
      <c r="M76" s="47" t="s">
        <v>104</v>
      </c>
    </row>
    <row r="77" ht="39.0" customHeight="1">
      <c r="A77" s="49">
        <v>67.0</v>
      </c>
      <c r="B77" s="50" t="str">
        <f t="shared" si="15"/>
        <v>Roadside Tire Repair Montreal | Call Now</v>
      </c>
      <c r="C77" s="51" t="str">
        <f t="shared" si="16"/>
        <v>/roadside-tire-repair-montreal</v>
      </c>
      <c r="D77" s="52" t="s">
        <v>159</v>
      </c>
      <c r="E77" s="53"/>
      <c r="F77" s="61" t="s">
        <v>59</v>
      </c>
      <c r="G77" s="54"/>
      <c r="H77" s="53"/>
      <c r="I77" s="55"/>
      <c r="J77" s="56"/>
      <c r="K77" s="57"/>
      <c r="L77" s="54"/>
      <c r="M77" s="58" t="s">
        <v>104</v>
      </c>
    </row>
    <row r="78" ht="39.0" customHeight="1">
      <c r="A78" s="17">
        <v>68.0</v>
      </c>
      <c r="B78" s="27" t="str">
        <f t="shared" si="15"/>
        <v>Mobile Tire Repair Montreal | Call Now</v>
      </c>
      <c r="C78" s="34" t="str">
        <f t="shared" si="16"/>
        <v>/mobile-tire-repair-montreal</v>
      </c>
      <c r="D78" s="37" t="s">
        <v>133</v>
      </c>
      <c r="E78" s="38"/>
      <c r="F78" s="61" t="s">
        <v>59</v>
      </c>
      <c r="G78" s="42"/>
      <c r="H78" s="38"/>
      <c r="I78" s="44"/>
      <c r="J78" s="45"/>
      <c r="K78" s="46"/>
      <c r="L78" s="42"/>
      <c r="M78" s="47" t="s">
        <v>104</v>
      </c>
    </row>
    <row r="79" ht="39.0" customHeight="1">
      <c r="A79" s="49">
        <v>69.0</v>
      </c>
      <c r="B79" s="50" t="str">
        <f t="shared" si="15"/>
        <v>Tire Repair Montreal | Call Now</v>
      </c>
      <c r="C79" s="51" t="str">
        <f t="shared" si="16"/>
        <v>/tire-repair-montreal</v>
      </c>
      <c r="D79" s="52" t="s">
        <v>114</v>
      </c>
      <c r="E79" s="53"/>
      <c r="F79" s="61" t="s">
        <v>59</v>
      </c>
      <c r="G79" s="54"/>
      <c r="H79" s="53"/>
      <c r="I79" s="55"/>
      <c r="J79" s="56"/>
      <c r="K79" s="57"/>
      <c r="L79" s="54"/>
      <c r="M79" s="58" t="s">
        <v>104</v>
      </c>
    </row>
    <row r="80" ht="39.0" customHeight="1">
      <c r="A80" s="17">
        <v>70.0</v>
      </c>
      <c r="B80" s="27" t="str">
        <f t="shared" si="15"/>
        <v>Flat Tire Repair Montreal | Call Now</v>
      </c>
      <c r="C80" s="34" t="str">
        <f t="shared" si="16"/>
        <v>/flat-tire-repair-montreal</v>
      </c>
      <c r="D80" s="37" t="s">
        <v>120</v>
      </c>
      <c r="E80" s="38"/>
      <c r="F80" s="61" t="s">
        <v>59</v>
      </c>
      <c r="G80" s="42"/>
      <c r="H80" s="38"/>
      <c r="I80" s="44"/>
      <c r="J80" s="45"/>
      <c r="K80" s="46"/>
      <c r="L80" s="42"/>
      <c r="M80" s="47" t="s">
        <v>104</v>
      </c>
    </row>
    <row r="81" ht="39.0" customHeight="1">
      <c r="A81" s="49">
        <v>71.0</v>
      </c>
      <c r="B81" s="50" t="str">
        <f t="shared" si="15"/>
        <v>Tire Puncture Repair Montreal | Call Now</v>
      </c>
      <c r="C81" s="51" t="str">
        <f t="shared" si="16"/>
        <v>/tire-puncture-repair-montreal</v>
      </c>
      <c r="D81" s="52" t="s">
        <v>149</v>
      </c>
      <c r="E81" s="53"/>
      <c r="F81" s="61" t="s">
        <v>59</v>
      </c>
      <c r="G81" s="54"/>
      <c r="H81" s="53"/>
      <c r="I81" s="55"/>
      <c r="J81" s="56"/>
      <c r="K81" s="57"/>
      <c r="L81" s="54"/>
      <c r="M81" s="58" t="s">
        <v>104</v>
      </c>
    </row>
    <row r="82" ht="39.0" customHeight="1">
      <c r="A82" s="17">
        <v>72.0</v>
      </c>
      <c r="B82" s="27" t="str">
        <f t="shared" si="15"/>
        <v>Tire Leak Repair Montreal | Call Now</v>
      </c>
      <c r="C82" s="34" t="str">
        <f t="shared" si="16"/>
        <v>/tire-leak-repair-montreal</v>
      </c>
      <c r="D82" s="37" t="s">
        <v>168</v>
      </c>
      <c r="E82" s="38"/>
      <c r="F82" s="61" t="s">
        <v>59</v>
      </c>
      <c r="G82" s="42"/>
      <c r="H82" s="38"/>
      <c r="I82" s="44"/>
      <c r="J82" s="45"/>
      <c r="K82" s="46"/>
      <c r="L82" s="42"/>
      <c r="M82" s="47" t="s">
        <v>104</v>
      </c>
    </row>
    <row r="83" ht="27.0" customHeight="1">
      <c r="A83" s="60" t="s">
        <v>313</v>
      </c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5"/>
    </row>
    <row r="84" ht="39.0" customHeight="1">
      <c r="A84" s="49">
        <v>73.0</v>
      </c>
      <c r="B84" s="50" t="str">
        <f t="shared" ref="B84:B95" si="17">PROPER(TRIM(SUBSTITUTE(D84," near me","")))&amp;" "&amp;F84&amp;" | Call Now"</f>
        <v>Truck Tire Repair Laval | Call Now</v>
      </c>
      <c r="C84" s="51" t="str">
        <f t="shared" ref="C84:C95" si="18">"/"&amp;SUBSTITUTE(LOWER(TRIM(TRIM(SUBSTITUTE(D84," near me",""))&amp;" "&amp;F84))," ","-")</f>
        <v>/truck-tire-repair-laval</v>
      </c>
      <c r="D84" s="52" t="s">
        <v>47</v>
      </c>
      <c r="E84" s="53"/>
      <c r="F84" s="61" t="s">
        <v>62</v>
      </c>
      <c r="G84" s="54"/>
      <c r="H84" s="53"/>
      <c r="I84" s="55"/>
      <c r="J84" s="56"/>
      <c r="K84" s="57"/>
      <c r="L84" s="54"/>
      <c r="M84" s="58" t="s">
        <v>104</v>
      </c>
    </row>
    <row r="85" ht="39.0" customHeight="1">
      <c r="A85" s="17">
        <v>74.0</v>
      </c>
      <c r="B85" s="27" t="str">
        <f t="shared" si="17"/>
        <v>Semi Truck Tire Repair Laval | Call Now</v>
      </c>
      <c r="C85" s="34" t="str">
        <f t="shared" si="18"/>
        <v>/semi-truck-tire-repair-laval</v>
      </c>
      <c r="D85" s="37" t="s">
        <v>89</v>
      </c>
      <c r="E85" s="38"/>
      <c r="F85" s="61" t="s">
        <v>62</v>
      </c>
      <c r="G85" s="42"/>
      <c r="H85" s="38"/>
      <c r="I85" s="44"/>
      <c r="J85" s="45"/>
      <c r="K85" s="46"/>
      <c r="L85" s="42"/>
      <c r="M85" s="47" t="s">
        <v>104</v>
      </c>
    </row>
    <row r="86" ht="39.0" customHeight="1">
      <c r="A86" s="49">
        <v>75.0</v>
      </c>
      <c r="B86" s="50" t="str">
        <f t="shared" si="17"/>
        <v>Mobile Truck Tire Repair Laval | Call Now</v>
      </c>
      <c r="C86" s="51" t="str">
        <f t="shared" si="18"/>
        <v>/mobile-truck-tire-repair-laval</v>
      </c>
      <c r="D86" s="52" t="s">
        <v>94</v>
      </c>
      <c r="E86" s="53"/>
      <c r="F86" s="61" t="s">
        <v>62</v>
      </c>
      <c r="G86" s="54"/>
      <c r="H86" s="53"/>
      <c r="I86" s="55"/>
      <c r="J86" s="56"/>
      <c r="K86" s="57"/>
      <c r="L86" s="54"/>
      <c r="M86" s="58" t="s">
        <v>104</v>
      </c>
    </row>
    <row r="87" ht="39.0" customHeight="1">
      <c r="A87" s="17">
        <v>76.0</v>
      </c>
      <c r="B87" s="27" t="str">
        <f t="shared" si="17"/>
        <v>Truck Roadside Assistance Laval | Call Now</v>
      </c>
      <c r="C87" s="34" t="str">
        <f t="shared" si="18"/>
        <v>/truck-roadside-assistance-laval</v>
      </c>
      <c r="D87" s="37" t="s">
        <v>77</v>
      </c>
      <c r="E87" s="38"/>
      <c r="F87" s="61" t="s">
        <v>62</v>
      </c>
      <c r="G87" s="42"/>
      <c r="H87" s="38"/>
      <c r="I87" s="44"/>
      <c r="J87" s="45"/>
      <c r="K87" s="46"/>
      <c r="L87" s="42"/>
      <c r="M87" s="47" t="s">
        <v>104</v>
      </c>
    </row>
    <row r="88" ht="39.0" customHeight="1">
      <c r="A88" s="49">
        <v>77.0</v>
      </c>
      <c r="B88" s="50" t="str">
        <f t="shared" si="17"/>
        <v>Emergency Tire Repair Laval | Call Now</v>
      </c>
      <c r="C88" s="51" t="str">
        <f t="shared" si="18"/>
        <v>/emergency-tire-repair-laval</v>
      </c>
      <c r="D88" s="52" t="s">
        <v>144</v>
      </c>
      <c r="E88" s="53"/>
      <c r="F88" s="61" t="s">
        <v>62</v>
      </c>
      <c r="G88" s="54"/>
      <c r="H88" s="53"/>
      <c r="I88" s="55"/>
      <c r="J88" s="56"/>
      <c r="K88" s="57"/>
      <c r="L88" s="54"/>
      <c r="M88" s="58" t="s">
        <v>104</v>
      </c>
    </row>
    <row r="89" ht="39.0" customHeight="1">
      <c r="A89" s="17">
        <v>78.0</v>
      </c>
      <c r="B89" s="27" t="str">
        <f t="shared" si="17"/>
        <v>24 Hour Tire Repair Laval | Call Now</v>
      </c>
      <c r="C89" s="34" t="str">
        <f t="shared" si="18"/>
        <v>/24-hour-tire-repair-laval</v>
      </c>
      <c r="D89" s="37" t="s">
        <v>184</v>
      </c>
      <c r="E89" s="38"/>
      <c r="F89" s="61" t="s">
        <v>62</v>
      </c>
      <c r="G89" s="42"/>
      <c r="H89" s="38"/>
      <c r="I89" s="44"/>
      <c r="J89" s="45"/>
      <c r="K89" s="46"/>
      <c r="L89" s="42"/>
      <c r="M89" s="47" t="s">
        <v>104</v>
      </c>
    </row>
    <row r="90" ht="39.0" customHeight="1">
      <c r="A90" s="49">
        <v>79.0</v>
      </c>
      <c r="B90" s="50" t="str">
        <f t="shared" si="17"/>
        <v>Roadside Tire Repair Laval | Call Now</v>
      </c>
      <c r="C90" s="51" t="str">
        <f t="shared" si="18"/>
        <v>/roadside-tire-repair-laval</v>
      </c>
      <c r="D90" s="52" t="s">
        <v>159</v>
      </c>
      <c r="E90" s="53"/>
      <c r="F90" s="61" t="s">
        <v>62</v>
      </c>
      <c r="G90" s="54"/>
      <c r="H90" s="53"/>
      <c r="I90" s="55"/>
      <c r="J90" s="56"/>
      <c r="K90" s="57"/>
      <c r="L90" s="54"/>
      <c r="M90" s="58" t="s">
        <v>104</v>
      </c>
    </row>
    <row r="91" ht="39.0" customHeight="1">
      <c r="A91" s="17">
        <v>80.0</v>
      </c>
      <c r="B91" s="27" t="str">
        <f t="shared" si="17"/>
        <v>Mobile Tire Repair Laval | Call Now</v>
      </c>
      <c r="C91" s="34" t="str">
        <f t="shared" si="18"/>
        <v>/mobile-tire-repair-laval</v>
      </c>
      <c r="D91" s="37" t="s">
        <v>133</v>
      </c>
      <c r="E91" s="38"/>
      <c r="F91" s="61" t="s">
        <v>62</v>
      </c>
      <c r="G91" s="42"/>
      <c r="H91" s="38"/>
      <c r="I91" s="44"/>
      <c r="J91" s="45"/>
      <c r="K91" s="46"/>
      <c r="L91" s="42"/>
      <c r="M91" s="47" t="s">
        <v>104</v>
      </c>
    </row>
    <row r="92" ht="39.0" customHeight="1">
      <c r="A92" s="49">
        <v>81.0</v>
      </c>
      <c r="B92" s="50" t="str">
        <f t="shared" si="17"/>
        <v>Tire Repair Laval | Call Now</v>
      </c>
      <c r="C92" s="51" t="str">
        <f t="shared" si="18"/>
        <v>/tire-repair-laval</v>
      </c>
      <c r="D92" s="52" t="s">
        <v>114</v>
      </c>
      <c r="E92" s="53"/>
      <c r="F92" s="61" t="s">
        <v>62</v>
      </c>
      <c r="G92" s="54"/>
      <c r="H92" s="53"/>
      <c r="I92" s="55"/>
      <c r="J92" s="56"/>
      <c r="K92" s="57"/>
      <c r="L92" s="54"/>
      <c r="M92" s="58" t="s">
        <v>104</v>
      </c>
    </row>
    <row r="93" ht="39.0" customHeight="1">
      <c r="A93" s="17">
        <v>82.0</v>
      </c>
      <c r="B93" s="27" t="str">
        <f t="shared" si="17"/>
        <v>Flat Tire Repair Laval | Call Now</v>
      </c>
      <c r="C93" s="34" t="str">
        <f t="shared" si="18"/>
        <v>/flat-tire-repair-laval</v>
      </c>
      <c r="D93" s="37" t="s">
        <v>120</v>
      </c>
      <c r="E93" s="38"/>
      <c r="F93" s="61" t="s">
        <v>62</v>
      </c>
      <c r="G93" s="42"/>
      <c r="H93" s="38"/>
      <c r="I93" s="44"/>
      <c r="J93" s="45"/>
      <c r="K93" s="46"/>
      <c r="L93" s="42"/>
      <c r="M93" s="47" t="s">
        <v>104</v>
      </c>
    </row>
    <row r="94" ht="39.0" customHeight="1">
      <c r="A94" s="49">
        <v>83.0</v>
      </c>
      <c r="B94" s="50" t="str">
        <f t="shared" si="17"/>
        <v>Tire Puncture Repair Laval | Call Now</v>
      </c>
      <c r="C94" s="51" t="str">
        <f t="shared" si="18"/>
        <v>/tire-puncture-repair-laval</v>
      </c>
      <c r="D94" s="52" t="s">
        <v>149</v>
      </c>
      <c r="E94" s="53"/>
      <c r="F94" s="61" t="s">
        <v>62</v>
      </c>
      <c r="G94" s="54"/>
      <c r="H94" s="53"/>
      <c r="I94" s="55"/>
      <c r="J94" s="56"/>
      <c r="K94" s="57"/>
      <c r="L94" s="54"/>
      <c r="M94" s="58" t="s">
        <v>104</v>
      </c>
    </row>
    <row r="95" ht="39.0" customHeight="1">
      <c r="A95" s="17">
        <v>84.0</v>
      </c>
      <c r="B95" s="27" t="str">
        <f t="shared" si="17"/>
        <v>Tire Leak Repair Laval | Call Now</v>
      </c>
      <c r="C95" s="34" t="str">
        <f t="shared" si="18"/>
        <v>/tire-leak-repair-laval</v>
      </c>
      <c r="D95" s="37" t="s">
        <v>168</v>
      </c>
      <c r="E95" s="38"/>
      <c r="F95" s="61" t="s">
        <v>62</v>
      </c>
      <c r="G95" s="42"/>
      <c r="H95" s="38"/>
      <c r="I95" s="44"/>
      <c r="J95" s="45"/>
      <c r="K95" s="46"/>
      <c r="L95" s="42"/>
      <c r="M95" s="47" t="s">
        <v>104</v>
      </c>
    </row>
    <row r="96" ht="27.0" customHeight="1">
      <c r="A96" s="60" t="s">
        <v>314</v>
      </c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5"/>
    </row>
    <row r="97" ht="39.0" customHeight="1">
      <c r="A97" s="49">
        <v>85.0</v>
      </c>
      <c r="B97" s="50" t="str">
        <f t="shared" ref="B97:B108" si="19">PROPER(TRIM(SUBSTITUTE(D97," near me","")))&amp;" "&amp;F97&amp;" | Call Now"</f>
        <v>Truck Tire Repair Hamilton | Call Now</v>
      </c>
      <c r="C97" s="51" t="str">
        <f t="shared" ref="C97:C108" si="20">"/"&amp;SUBSTITUTE(LOWER(TRIM(TRIM(SUBSTITUTE(D97," near me",""))&amp;" "&amp;F97))," ","-")</f>
        <v>/truck-tire-repair-hamilton</v>
      </c>
      <c r="D97" s="52" t="s">
        <v>47</v>
      </c>
      <c r="E97" s="53"/>
      <c r="F97" s="61" t="s">
        <v>63</v>
      </c>
      <c r="G97" s="54"/>
      <c r="H97" s="53"/>
      <c r="I97" s="55"/>
      <c r="J97" s="56"/>
      <c r="K97" s="57"/>
      <c r="L97" s="54"/>
      <c r="M97" s="58" t="s">
        <v>104</v>
      </c>
    </row>
    <row r="98" ht="39.0" customHeight="1">
      <c r="A98" s="17">
        <v>86.0</v>
      </c>
      <c r="B98" s="27" t="str">
        <f t="shared" si="19"/>
        <v>Semi Truck Tire Repair Hamilton | Call Now</v>
      </c>
      <c r="C98" s="34" t="str">
        <f t="shared" si="20"/>
        <v>/semi-truck-tire-repair-hamilton</v>
      </c>
      <c r="D98" s="37" t="s">
        <v>89</v>
      </c>
      <c r="E98" s="38"/>
      <c r="F98" s="61" t="s">
        <v>63</v>
      </c>
      <c r="G98" s="42"/>
      <c r="H98" s="38"/>
      <c r="I98" s="44"/>
      <c r="J98" s="45"/>
      <c r="K98" s="46"/>
      <c r="L98" s="42"/>
      <c r="M98" s="47" t="s">
        <v>104</v>
      </c>
    </row>
    <row r="99" ht="39.0" customHeight="1">
      <c r="A99" s="49">
        <v>87.0</v>
      </c>
      <c r="B99" s="50" t="str">
        <f t="shared" si="19"/>
        <v>Mobile Truck Tire Repair Hamilton | Call Now</v>
      </c>
      <c r="C99" s="51" t="str">
        <f t="shared" si="20"/>
        <v>/mobile-truck-tire-repair-hamilton</v>
      </c>
      <c r="D99" s="52" t="s">
        <v>94</v>
      </c>
      <c r="E99" s="53"/>
      <c r="F99" s="61" t="s">
        <v>63</v>
      </c>
      <c r="G99" s="54"/>
      <c r="H99" s="53"/>
      <c r="I99" s="55"/>
      <c r="J99" s="56"/>
      <c r="K99" s="57"/>
      <c r="L99" s="54"/>
      <c r="M99" s="58" t="s">
        <v>104</v>
      </c>
    </row>
    <row r="100" ht="39.0" customHeight="1">
      <c r="A100" s="17">
        <v>88.0</v>
      </c>
      <c r="B100" s="27" t="str">
        <f t="shared" si="19"/>
        <v>Truck Roadside Assistance Hamilton | Call Now</v>
      </c>
      <c r="C100" s="34" t="str">
        <f t="shared" si="20"/>
        <v>/truck-roadside-assistance-hamilton</v>
      </c>
      <c r="D100" s="37" t="s">
        <v>77</v>
      </c>
      <c r="E100" s="38"/>
      <c r="F100" s="61" t="s">
        <v>63</v>
      </c>
      <c r="G100" s="42"/>
      <c r="H100" s="38"/>
      <c r="I100" s="44"/>
      <c r="J100" s="45"/>
      <c r="K100" s="46"/>
      <c r="L100" s="42"/>
      <c r="M100" s="47" t="s">
        <v>104</v>
      </c>
    </row>
    <row r="101" ht="39.0" customHeight="1">
      <c r="A101" s="49">
        <v>89.0</v>
      </c>
      <c r="B101" s="50" t="str">
        <f t="shared" si="19"/>
        <v>Emergency Tire Repair Hamilton | Call Now</v>
      </c>
      <c r="C101" s="51" t="str">
        <f t="shared" si="20"/>
        <v>/emergency-tire-repair-hamilton</v>
      </c>
      <c r="D101" s="52" t="s">
        <v>144</v>
      </c>
      <c r="E101" s="53"/>
      <c r="F101" s="61" t="s">
        <v>63</v>
      </c>
      <c r="G101" s="54"/>
      <c r="H101" s="53"/>
      <c r="I101" s="55"/>
      <c r="J101" s="56"/>
      <c r="K101" s="57"/>
      <c r="L101" s="54"/>
      <c r="M101" s="58" t="s">
        <v>104</v>
      </c>
    </row>
    <row r="102" ht="39.0" customHeight="1">
      <c r="A102" s="17">
        <v>90.0</v>
      </c>
      <c r="B102" s="27" t="str">
        <f t="shared" si="19"/>
        <v>24 Hour Tire Repair Hamilton | Call Now</v>
      </c>
      <c r="C102" s="34" t="str">
        <f t="shared" si="20"/>
        <v>/24-hour-tire-repair-hamilton</v>
      </c>
      <c r="D102" s="37" t="s">
        <v>184</v>
      </c>
      <c r="E102" s="38"/>
      <c r="F102" s="61" t="s">
        <v>63</v>
      </c>
      <c r="G102" s="42"/>
      <c r="H102" s="38"/>
      <c r="I102" s="44"/>
      <c r="J102" s="45"/>
      <c r="K102" s="46"/>
      <c r="L102" s="42"/>
      <c r="M102" s="47" t="s">
        <v>104</v>
      </c>
    </row>
    <row r="103" ht="39.0" customHeight="1">
      <c r="A103" s="49">
        <v>91.0</v>
      </c>
      <c r="B103" s="50" t="str">
        <f t="shared" si="19"/>
        <v>Roadside Tire Repair Hamilton | Call Now</v>
      </c>
      <c r="C103" s="51" t="str">
        <f t="shared" si="20"/>
        <v>/roadside-tire-repair-hamilton</v>
      </c>
      <c r="D103" s="52" t="s">
        <v>159</v>
      </c>
      <c r="E103" s="53"/>
      <c r="F103" s="61" t="s">
        <v>63</v>
      </c>
      <c r="G103" s="54"/>
      <c r="H103" s="53"/>
      <c r="I103" s="55"/>
      <c r="J103" s="56"/>
      <c r="K103" s="57"/>
      <c r="L103" s="54"/>
      <c r="M103" s="58" t="s">
        <v>104</v>
      </c>
    </row>
    <row r="104" ht="39.0" customHeight="1">
      <c r="A104" s="17">
        <v>92.0</v>
      </c>
      <c r="B104" s="27" t="str">
        <f t="shared" si="19"/>
        <v>Mobile Tire Repair Hamilton | Call Now</v>
      </c>
      <c r="C104" s="34" t="str">
        <f t="shared" si="20"/>
        <v>/mobile-tire-repair-hamilton</v>
      </c>
      <c r="D104" s="37" t="s">
        <v>133</v>
      </c>
      <c r="E104" s="38"/>
      <c r="F104" s="61" t="s">
        <v>63</v>
      </c>
      <c r="G104" s="42"/>
      <c r="H104" s="38"/>
      <c r="I104" s="44"/>
      <c r="J104" s="45"/>
      <c r="K104" s="46"/>
      <c r="L104" s="42"/>
      <c r="M104" s="47" t="s">
        <v>104</v>
      </c>
    </row>
    <row r="105" ht="39.0" customHeight="1">
      <c r="A105" s="49">
        <v>93.0</v>
      </c>
      <c r="B105" s="50" t="str">
        <f t="shared" si="19"/>
        <v>Tire Repair Hamilton | Call Now</v>
      </c>
      <c r="C105" s="51" t="str">
        <f t="shared" si="20"/>
        <v>/tire-repair-hamilton</v>
      </c>
      <c r="D105" s="52" t="s">
        <v>114</v>
      </c>
      <c r="E105" s="53"/>
      <c r="F105" s="61" t="s">
        <v>63</v>
      </c>
      <c r="G105" s="54"/>
      <c r="H105" s="53"/>
      <c r="I105" s="55"/>
      <c r="J105" s="56"/>
      <c r="K105" s="57"/>
      <c r="L105" s="54"/>
      <c r="M105" s="58" t="s">
        <v>104</v>
      </c>
    </row>
    <row r="106" ht="39.0" customHeight="1">
      <c r="A106" s="17">
        <v>94.0</v>
      </c>
      <c r="B106" s="27" t="str">
        <f t="shared" si="19"/>
        <v>Flat Tire Repair Hamilton | Call Now</v>
      </c>
      <c r="C106" s="34" t="str">
        <f t="shared" si="20"/>
        <v>/flat-tire-repair-hamilton</v>
      </c>
      <c r="D106" s="37" t="s">
        <v>120</v>
      </c>
      <c r="E106" s="38"/>
      <c r="F106" s="61" t="s">
        <v>63</v>
      </c>
      <c r="G106" s="42"/>
      <c r="H106" s="38"/>
      <c r="I106" s="44"/>
      <c r="J106" s="45"/>
      <c r="K106" s="46"/>
      <c r="L106" s="42"/>
      <c r="M106" s="47" t="s">
        <v>104</v>
      </c>
    </row>
    <row r="107" ht="39.0" customHeight="1">
      <c r="A107" s="49">
        <v>95.0</v>
      </c>
      <c r="B107" s="50" t="str">
        <f t="shared" si="19"/>
        <v>Tire Puncture Repair Hamilton | Call Now</v>
      </c>
      <c r="C107" s="51" t="str">
        <f t="shared" si="20"/>
        <v>/tire-puncture-repair-hamilton</v>
      </c>
      <c r="D107" s="52" t="s">
        <v>149</v>
      </c>
      <c r="E107" s="53"/>
      <c r="F107" s="61" t="s">
        <v>63</v>
      </c>
      <c r="G107" s="54"/>
      <c r="H107" s="53"/>
      <c r="I107" s="55"/>
      <c r="J107" s="56"/>
      <c r="K107" s="57"/>
      <c r="L107" s="54"/>
      <c r="M107" s="58" t="s">
        <v>104</v>
      </c>
    </row>
    <row r="108" ht="39.0" customHeight="1">
      <c r="A108" s="17">
        <v>96.0</v>
      </c>
      <c r="B108" s="27" t="str">
        <f t="shared" si="19"/>
        <v>Tire Leak Repair Hamilton | Call Now</v>
      </c>
      <c r="C108" s="34" t="str">
        <f t="shared" si="20"/>
        <v>/tire-leak-repair-hamilton</v>
      </c>
      <c r="D108" s="37" t="s">
        <v>168</v>
      </c>
      <c r="E108" s="38"/>
      <c r="F108" s="61" t="s">
        <v>63</v>
      </c>
      <c r="G108" s="42"/>
      <c r="H108" s="38"/>
      <c r="I108" s="44"/>
      <c r="J108" s="45"/>
      <c r="K108" s="46"/>
      <c r="L108" s="42"/>
      <c r="M108" s="47" t="s">
        <v>104</v>
      </c>
    </row>
    <row r="109" ht="27.0" customHeight="1">
      <c r="A109" s="60" t="s">
        <v>315</v>
      </c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5"/>
    </row>
    <row r="110" ht="39.0" customHeight="1">
      <c r="A110" s="49">
        <v>97.0</v>
      </c>
      <c r="B110" s="50" t="str">
        <f t="shared" ref="B110:B121" si="21">PROPER(TRIM(SUBSTITUTE(D110," near me","")))&amp;" "&amp;F110&amp;" | Call Now"</f>
        <v>Truck Tire Repair St Catharines | Call Now</v>
      </c>
      <c r="C110" s="51" t="str">
        <f t="shared" ref="C110:C121" si="22">"/"&amp;SUBSTITUTE(LOWER(TRIM(TRIM(SUBSTITUTE(D110," near me",""))&amp;" "&amp;F110))," ","-")</f>
        <v>/truck-tire-repair-st-catharines</v>
      </c>
      <c r="D110" s="52" t="s">
        <v>47</v>
      </c>
      <c r="E110" s="53"/>
      <c r="F110" s="61" t="s">
        <v>64</v>
      </c>
      <c r="G110" s="54"/>
      <c r="H110" s="53"/>
      <c r="I110" s="55"/>
      <c r="J110" s="56"/>
      <c r="K110" s="57"/>
      <c r="L110" s="54"/>
      <c r="M110" s="58" t="s">
        <v>104</v>
      </c>
    </row>
    <row r="111" ht="39.0" customHeight="1">
      <c r="A111" s="17">
        <v>98.0</v>
      </c>
      <c r="B111" s="27" t="str">
        <f t="shared" si="21"/>
        <v>Semi Truck Tire Repair St Catharines | Call Now</v>
      </c>
      <c r="C111" s="34" t="str">
        <f t="shared" si="22"/>
        <v>/semi-truck-tire-repair-st-catharines</v>
      </c>
      <c r="D111" s="37" t="s">
        <v>89</v>
      </c>
      <c r="E111" s="38"/>
      <c r="F111" s="61" t="s">
        <v>64</v>
      </c>
      <c r="G111" s="42"/>
      <c r="H111" s="38"/>
      <c r="I111" s="44"/>
      <c r="J111" s="45"/>
      <c r="K111" s="46"/>
      <c r="L111" s="42"/>
      <c r="M111" s="47" t="s">
        <v>104</v>
      </c>
    </row>
    <row r="112" ht="39.0" customHeight="1">
      <c r="A112" s="49">
        <v>99.0</v>
      </c>
      <c r="B112" s="50" t="str">
        <f t="shared" si="21"/>
        <v>Mobile Truck Tire Repair St Catharines | Call Now</v>
      </c>
      <c r="C112" s="51" t="str">
        <f t="shared" si="22"/>
        <v>/mobile-truck-tire-repair-st-catharines</v>
      </c>
      <c r="D112" s="52" t="s">
        <v>94</v>
      </c>
      <c r="E112" s="53"/>
      <c r="F112" s="61" t="s">
        <v>64</v>
      </c>
      <c r="G112" s="54"/>
      <c r="H112" s="53"/>
      <c r="I112" s="55"/>
      <c r="J112" s="56"/>
      <c r="K112" s="57"/>
      <c r="L112" s="54"/>
      <c r="M112" s="58" t="s">
        <v>104</v>
      </c>
    </row>
    <row r="113" ht="39.0" customHeight="1">
      <c r="A113" s="17">
        <v>100.0</v>
      </c>
      <c r="B113" s="27" t="str">
        <f t="shared" si="21"/>
        <v>Truck Roadside Assistance St Catharines | Call Now</v>
      </c>
      <c r="C113" s="34" t="str">
        <f t="shared" si="22"/>
        <v>/truck-roadside-assistance-st-catharines</v>
      </c>
      <c r="D113" s="37" t="s">
        <v>77</v>
      </c>
      <c r="E113" s="38"/>
      <c r="F113" s="61" t="s">
        <v>64</v>
      </c>
      <c r="G113" s="42"/>
      <c r="H113" s="38"/>
      <c r="I113" s="44"/>
      <c r="J113" s="45"/>
      <c r="K113" s="46"/>
      <c r="L113" s="42"/>
      <c r="M113" s="47" t="s">
        <v>104</v>
      </c>
    </row>
    <row r="114" ht="39.0" customHeight="1">
      <c r="A114" s="49">
        <v>101.0</v>
      </c>
      <c r="B114" s="50" t="str">
        <f t="shared" si="21"/>
        <v>Emergency Tire Repair St Catharines | Call Now</v>
      </c>
      <c r="C114" s="51" t="str">
        <f t="shared" si="22"/>
        <v>/emergency-tire-repair-st-catharines</v>
      </c>
      <c r="D114" s="52" t="s">
        <v>144</v>
      </c>
      <c r="E114" s="53"/>
      <c r="F114" s="61" t="s">
        <v>64</v>
      </c>
      <c r="G114" s="54"/>
      <c r="H114" s="53"/>
      <c r="I114" s="55"/>
      <c r="J114" s="56"/>
      <c r="K114" s="57"/>
      <c r="L114" s="54"/>
      <c r="M114" s="58" t="s">
        <v>104</v>
      </c>
    </row>
    <row r="115" ht="39.0" customHeight="1">
      <c r="A115" s="17">
        <v>102.0</v>
      </c>
      <c r="B115" s="27" t="str">
        <f t="shared" si="21"/>
        <v>24 Hour Tire Repair St Catharines | Call Now</v>
      </c>
      <c r="C115" s="34" t="str">
        <f t="shared" si="22"/>
        <v>/24-hour-tire-repair-st-catharines</v>
      </c>
      <c r="D115" s="37" t="s">
        <v>184</v>
      </c>
      <c r="E115" s="38"/>
      <c r="F115" s="61" t="s">
        <v>64</v>
      </c>
      <c r="G115" s="42"/>
      <c r="H115" s="38"/>
      <c r="I115" s="44"/>
      <c r="J115" s="45"/>
      <c r="K115" s="46"/>
      <c r="L115" s="42"/>
      <c r="M115" s="47" t="s">
        <v>104</v>
      </c>
    </row>
    <row r="116" ht="39.0" customHeight="1">
      <c r="A116" s="49">
        <v>103.0</v>
      </c>
      <c r="B116" s="50" t="str">
        <f t="shared" si="21"/>
        <v>Roadside Tire Repair St Catharines | Call Now</v>
      </c>
      <c r="C116" s="51" t="str">
        <f t="shared" si="22"/>
        <v>/roadside-tire-repair-st-catharines</v>
      </c>
      <c r="D116" s="52" t="s">
        <v>159</v>
      </c>
      <c r="E116" s="53"/>
      <c r="F116" s="61" t="s">
        <v>64</v>
      </c>
      <c r="G116" s="54"/>
      <c r="H116" s="53"/>
      <c r="I116" s="55"/>
      <c r="J116" s="56"/>
      <c r="K116" s="57"/>
      <c r="L116" s="54"/>
      <c r="M116" s="58" t="s">
        <v>104</v>
      </c>
    </row>
    <row r="117" ht="39.0" customHeight="1">
      <c r="A117" s="17">
        <v>104.0</v>
      </c>
      <c r="B117" s="27" t="str">
        <f t="shared" si="21"/>
        <v>Mobile Tire Repair St Catharines | Call Now</v>
      </c>
      <c r="C117" s="34" t="str">
        <f t="shared" si="22"/>
        <v>/mobile-tire-repair-st-catharines</v>
      </c>
      <c r="D117" s="37" t="s">
        <v>133</v>
      </c>
      <c r="E117" s="38"/>
      <c r="F117" s="61" t="s">
        <v>64</v>
      </c>
      <c r="G117" s="42"/>
      <c r="H117" s="38"/>
      <c r="I117" s="44"/>
      <c r="J117" s="45"/>
      <c r="K117" s="46"/>
      <c r="L117" s="42"/>
      <c r="M117" s="47" t="s">
        <v>104</v>
      </c>
    </row>
    <row r="118" ht="39.0" customHeight="1">
      <c r="A118" s="49">
        <v>105.0</v>
      </c>
      <c r="B118" s="50" t="str">
        <f t="shared" si="21"/>
        <v>Tire Repair St Catharines | Call Now</v>
      </c>
      <c r="C118" s="51" t="str">
        <f t="shared" si="22"/>
        <v>/tire-repair-st-catharines</v>
      </c>
      <c r="D118" s="52" t="s">
        <v>114</v>
      </c>
      <c r="E118" s="53"/>
      <c r="F118" s="61" t="s">
        <v>64</v>
      </c>
      <c r="G118" s="54"/>
      <c r="H118" s="53"/>
      <c r="I118" s="55"/>
      <c r="J118" s="56"/>
      <c r="K118" s="57"/>
      <c r="L118" s="54"/>
      <c r="M118" s="58" t="s">
        <v>104</v>
      </c>
    </row>
    <row r="119" ht="39.0" customHeight="1">
      <c r="A119" s="17">
        <v>106.0</v>
      </c>
      <c r="B119" s="27" t="str">
        <f t="shared" si="21"/>
        <v>Flat Tire Repair St Catharines | Call Now</v>
      </c>
      <c r="C119" s="34" t="str">
        <f t="shared" si="22"/>
        <v>/flat-tire-repair-st-catharines</v>
      </c>
      <c r="D119" s="37" t="s">
        <v>120</v>
      </c>
      <c r="E119" s="38"/>
      <c r="F119" s="61" t="s">
        <v>64</v>
      </c>
      <c r="G119" s="42"/>
      <c r="H119" s="38"/>
      <c r="I119" s="44"/>
      <c r="J119" s="45"/>
      <c r="K119" s="46"/>
      <c r="L119" s="42"/>
      <c r="M119" s="47" t="s">
        <v>104</v>
      </c>
    </row>
    <row r="120" ht="39.0" customHeight="1">
      <c r="A120" s="49">
        <v>107.0</v>
      </c>
      <c r="B120" s="50" t="str">
        <f t="shared" si="21"/>
        <v>Tire Puncture Repair St Catharines | Call Now</v>
      </c>
      <c r="C120" s="51" t="str">
        <f t="shared" si="22"/>
        <v>/tire-puncture-repair-st-catharines</v>
      </c>
      <c r="D120" s="52" t="s">
        <v>149</v>
      </c>
      <c r="E120" s="53"/>
      <c r="F120" s="61" t="s">
        <v>64</v>
      </c>
      <c r="G120" s="54"/>
      <c r="H120" s="53"/>
      <c r="I120" s="55"/>
      <c r="J120" s="56"/>
      <c r="K120" s="57"/>
      <c r="L120" s="54"/>
      <c r="M120" s="58" t="s">
        <v>104</v>
      </c>
    </row>
    <row r="121" ht="39.0" customHeight="1">
      <c r="A121" s="17">
        <v>108.0</v>
      </c>
      <c r="B121" s="27" t="str">
        <f t="shared" si="21"/>
        <v>Tire Leak Repair St Catharines | Call Now</v>
      </c>
      <c r="C121" s="34" t="str">
        <f t="shared" si="22"/>
        <v>/tire-leak-repair-st-catharines</v>
      </c>
      <c r="D121" s="37" t="s">
        <v>168</v>
      </c>
      <c r="E121" s="38"/>
      <c r="F121" s="61" t="s">
        <v>64</v>
      </c>
      <c r="G121" s="42"/>
      <c r="H121" s="38"/>
      <c r="I121" s="44"/>
      <c r="J121" s="45"/>
      <c r="K121" s="46"/>
      <c r="L121" s="42"/>
      <c r="M121" s="47" t="s">
        <v>104</v>
      </c>
    </row>
    <row r="122" ht="27.0" customHeight="1">
      <c r="A122" s="60" t="s">
        <v>316</v>
      </c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5"/>
    </row>
    <row r="123" ht="39.0" customHeight="1">
      <c r="A123" s="49">
        <v>109.0</v>
      </c>
      <c r="B123" s="50" t="str">
        <f t="shared" ref="B123:B134" si="23">PROPER(TRIM(SUBSTITUTE(D123," near me","")))&amp;" "&amp;F123&amp;" | Call Now"</f>
        <v>Truck Tire Repair Markham | Call Now</v>
      </c>
      <c r="C123" s="51" t="str">
        <f t="shared" ref="C123:C134" si="24">"/"&amp;SUBSTITUTE(LOWER(TRIM(TRIM(SUBSTITUTE(D123," near me",""))&amp;" "&amp;F123))," ","-")</f>
        <v>/truck-tire-repair-markham</v>
      </c>
      <c r="D123" s="52" t="s">
        <v>47</v>
      </c>
      <c r="E123" s="53"/>
      <c r="F123" s="61" t="s">
        <v>67</v>
      </c>
      <c r="G123" s="54"/>
      <c r="H123" s="53"/>
      <c r="I123" s="55"/>
      <c r="J123" s="56"/>
      <c r="K123" s="57"/>
      <c r="L123" s="54"/>
      <c r="M123" s="58" t="s">
        <v>104</v>
      </c>
    </row>
    <row r="124" ht="39.0" customHeight="1">
      <c r="A124" s="17">
        <v>110.0</v>
      </c>
      <c r="B124" s="27" t="str">
        <f t="shared" si="23"/>
        <v>Semi Truck Tire Repair Markham | Call Now</v>
      </c>
      <c r="C124" s="34" t="str">
        <f t="shared" si="24"/>
        <v>/semi-truck-tire-repair-markham</v>
      </c>
      <c r="D124" s="37" t="s">
        <v>89</v>
      </c>
      <c r="E124" s="38"/>
      <c r="F124" s="61" t="s">
        <v>67</v>
      </c>
      <c r="G124" s="42"/>
      <c r="H124" s="38"/>
      <c r="I124" s="44"/>
      <c r="J124" s="45"/>
      <c r="K124" s="46"/>
      <c r="L124" s="42"/>
      <c r="M124" s="47" t="s">
        <v>104</v>
      </c>
    </row>
    <row r="125" ht="39.0" customHeight="1">
      <c r="A125" s="49">
        <v>111.0</v>
      </c>
      <c r="B125" s="50" t="str">
        <f t="shared" si="23"/>
        <v>Mobile Truck Tire Repair Markham | Call Now</v>
      </c>
      <c r="C125" s="51" t="str">
        <f t="shared" si="24"/>
        <v>/mobile-truck-tire-repair-markham</v>
      </c>
      <c r="D125" s="52" t="s">
        <v>94</v>
      </c>
      <c r="E125" s="53"/>
      <c r="F125" s="61" t="s">
        <v>67</v>
      </c>
      <c r="G125" s="54"/>
      <c r="H125" s="53"/>
      <c r="I125" s="55"/>
      <c r="J125" s="56"/>
      <c r="K125" s="57"/>
      <c r="L125" s="54"/>
      <c r="M125" s="58" t="s">
        <v>104</v>
      </c>
    </row>
    <row r="126" ht="39.0" customHeight="1">
      <c r="A126" s="17">
        <v>112.0</v>
      </c>
      <c r="B126" s="27" t="str">
        <f t="shared" si="23"/>
        <v>Truck Roadside Assistance Markham | Call Now</v>
      </c>
      <c r="C126" s="34" t="str">
        <f t="shared" si="24"/>
        <v>/truck-roadside-assistance-markham</v>
      </c>
      <c r="D126" s="37" t="s">
        <v>77</v>
      </c>
      <c r="E126" s="38"/>
      <c r="F126" s="61" t="s">
        <v>67</v>
      </c>
      <c r="G126" s="42"/>
      <c r="H126" s="38"/>
      <c r="I126" s="44"/>
      <c r="J126" s="45"/>
      <c r="K126" s="46"/>
      <c r="L126" s="42"/>
      <c r="M126" s="47" t="s">
        <v>104</v>
      </c>
    </row>
    <row r="127" ht="39.0" customHeight="1">
      <c r="A127" s="49">
        <v>113.0</v>
      </c>
      <c r="B127" s="50" t="str">
        <f t="shared" si="23"/>
        <v>Emergency Tire Repair Markham | Call Now</v>
      </c>
      <c r="C127" s="51" t="str">
        <f t="shared" si="24"/>
        <v>/emergency-tire-repair-markham</v>
      </c>
      <c r="D127" s="52" t="s">
        <v>144</v>
      </c>
      <c r="E127" s="53"/>
      <c r="F127" s="61" t="s">
        <v>67</v>
      </c>
      <c r="G127" s="54"/>
      <c r="H127" s="53"/>
      <c r="I127" s="55"/>
      <c r="J127" s="56"/>
      <c r="K127" s="57"/>
      <c r="L127" s="54"/>
      <c r="M127" s="58" t="s">
        <v>104</v>
      </c>
    </row>
    <row r="128" ht="39.0" customHeight="1">
      <c r="A128" s="17">
        <v>114.0</v>
      </c>
      <c r="B128" s="27" t="str">
        <f t="shared" si="23"/>
        <v>24 Hour Tire Repair Markham | Call Now</v>
      </c>
      <c r="C128" s="34" t="str">
        <f t="shared" si="24"/>
        <v>/24-hour-tire-repair-markham</v>
      </c>
      <c r="D128" s="37" t="s">
        <v>184</v>
      </c>
      <c r="E128" s="38"/>
      <c r="F128" s="61" t="s">
        <v>67</v>
      </c>
      <c r="G128" s="42"/>
      <c r="H128" s="38"/>
      <c r="I128" s="44"/>
      <c r="J128" s="45"/>
      <c r="K128" s="46"/>
      <c r="L128" s="42"/>
      <c r="M128" s="47" t="s">
        <v>104</v>
      </c>
    </row>
    <row r="129" ht="39.0" customHeight="1">
      <c r="A129" s="49">
        <v>115.0</v>
      </c>
      <c r="B129" s="50" t="str">
        <f t="shared" si="23"/>
        <v>Roadside Tire Repair Markham | Call Now</v>
      </c>
      <c r="C129" s="51" t="str">
        <f t="shared" si="24"/>
        <v>/roadside-tire-repair-markham</v>
      </c>
      <c r="D129" s="52" t="s">
        <v>159</v>
      </c>
      <c r="E129" s="53"/>
      <c r="F129" s="61" t="s">
        <v>67</v>
      </c>
      <c r="G129" s="54"/>
      <c r="H129" s="53"/>
      <c r="I129" s="55"/>
      <c r="J129" s="56"/>
      <c r="K129" s="57"/>
      <c r="L129" s="54"/>
      <c r="M129" s="58" t="s">
        <v>104</v>
      </c>
    </row>
    <row r="130" ht="39.0" customHeight="1">
      <c r="A130" s="17">
        <v>116.0</v>
      </c>
      <c r="B130" s="27" t="str">
        <f t="shared" si="23"/>
        <v>Mobile Tire Repair Markham | Call Now</v>
      </c>
      <c r="C130" s="34" t="str">
        <f t="shared" si="24"/>
        <v>/mobile-tire-repair-markham</v>
      </c>
      <c r="D130" s="37" t="s">
        <v>133</v>
      </c>
      <c r="E130" s="38"/>
      <c r="F130" s="61" t="s">
        <v>67</v>
      </c>
      <c r="G130" s="42"/>
      <c r="H130" s="38"/>
      <c r="I130" s="44"/>
      <c r="J130" s="45"/>
      <c r="K130" s="46"/>
      <c r="L130" s="42"/>
      <c r="M130" s="47" t="s">
        <v>104</v>
      </c>
    </row>
    <row r="131" ht="39.0" customHeight="1">
      <c r="A131" s="49">
        <v>117.0</v>
      </c>
      <c r="B131" s="50" t="str">
        <f t="shared" si="23"/>
        <v>Tire Repair Markham | Call Now</v>
      </c>
      <c r="C131" s="51" t="str">
        <f t="shared" si="24"/>
        <v>/tire-repair-markham</v>
      </c>
      <c r="D131" s="52" t="s">
        <v>114</v>
      </c>
      <c r="E131" s="53"/>
      <c r="F131" s="61" t="s">
        <v>67</v>
      </c>
      <c r="G131" s="54"/>
      <c r="H131" s="53"/>
      <c r="I131" s="55"/>
      <c r="J131" s="56"/>
      <c r="K131" s="57"/>
      <c r="L131" s="54"/>
      <c r="M131" s="58" t="s">
        <v>104</v>
      </c>
    </row>
    <row r="132" ht="39.0" customHeight="1">
      <c r="A132" s="17">
        <v>118.0</v>
      </c>
      <c r="B132" s="27" t="str">
        <f t="shared" si="23"/>
        <v>Flat Tire Repair Markham | Call Now</v>
      </c>
      <c r="C132" s="34" t="str">
        <f t="shared" si="24"/>
        <v>/flat-tire-repair-markham</v>
      </c>
      <c r="D132" s="37" t="s">
        <v>120</v>
      </c>
      <c r="E132" s="38"/>
      <c r="F132" s="61" t="s">
        <v>67</v>
      </c>
      <c r="G132" s="42"/>
      <c r="H132" s="38"/>
      <c r="I132" s="44"/>
      <c r="J132" s="45"/>
      <c r="K132" s="46"/>
      <c r="L132" s="42"/>
      <c r="M132" s="47" t="s">
        <v>104</v>
      </c>
    </row>
    <row r="133" ht="39.0" customHeight="1">
      <c r="A133" s="49">
        <v>119.0</v>
      </c>
      <c r="B133" s="50" t="str">
        <f t="shared" si="23"/>
        <v>Tire Puncture Repair Markham | Call Now</v>
      </c>
      <c r="C133" s="51" t="str">
        <f t="shared" si="24"/>
        <v>/tire-puncture-repair-markham</v>
      </c>
      <c r="D133" s="52" t="s">
        <v>149</v>
      </c>
      <c r="E133" s="53"/>
      <c r="F133" s="61" t="s">
        <v>67</v>
      </c>
      <c r="G133" s="54"/>
      <c r="H133" s="53"/>
      <c r="I133" s="55"/>
      <c r="J133" s="56"/>
      <c r="K133" s="57"/>
      <c r="L133" s="54"/>
      <c r="M133" s="58" t="s">
        <v>104</v>
      </c>
    </row>
    <row r="134" ht="39.0" customHeight="1">
      <c r="A134" s="17">
        <v>120.0</v>
      </c>
      <c r="B134" s="27" t="str">
        <f t="shared" si="23"/>
        <v>Tire Leak Repair Markham | Call Now</v>
      </c>
      <c r="C134" s="34" t="str">
        <f t="shared" si="24"/>
        <v>/tire-leak-repair-markham</v>
      </c>
      <c r="D134" s="37" t="s">
        <v>168</v>
      </c>
      <c r="E134" s="38"/>
      <c r="F134" s="61" t="s">
        <v>67</v>
      </c>
      <c r="G134" s="42"/>
      <c r="H134" s="38"/>
      <c r="I134" s="44"/>
      <c r="J134" s="45"/>
      <c r="K134" s="46"/>
      <c r="L134" s="42"/>
      <c r="M134" s="47" t="s">
        <v>104</v>
      </c>
    </row>
    <row r="135" ht="27.0" customHeight="1">
      <c r="A135" s="60" t="s">
        <v>317</v>
      </c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5"/>
    </row>
    <row r="136" ht="39.0" customHeight="1">
      <c r="A136" s="49">
        <v>121.0</v>
      </c>
      <c r="B136" s="50" t="str">
        <f t="shared" ref="B136:B147" si="25">PROPER(TRIM(SUBSTITUTE(D136," near me","")))&amp;" "&amp;F136&amp;" | Call Now"</f>
        <v>Truck Tire Repair North York | Call Now</v>
      </c>
      <c r="C136" s="51" t="str">
        <f t="shared" ref="C136:C147" si="26">"/"&amp;SUBSTITUTE(LOWER(TRIM(TRIM(SUBSTITUTE(D136," near me",""))&amp;" "&amp;F136))," ","-")</f>
        <v>/truck-tire-repair-north-york</v>
      </c>
      <c r="D136" s="52" t="s">
        <v>47</v>
      </c>
      <c r="E136" s="53"/>
      <c r="F136" s="61" t="s">
        <v>74</v>
      </c>
      <c r="G136" s="54"/>
      <c r="H136" s="53"/>
      <c r="I136" s="55"/>
      <c r="J136" s="56"/>
      <c r="K136" s="57"/>
      <c r="L136" s="54"/>
      <c r="M136" s="58" t="s">
        <v>104</v>
      </c>
    </row>
    <row r="137" ht="39.0" customHeight="1">
      <c r="A137" s="17">
        <v>122.0</v>
      </c>
      <c r="B137" s="27" t="str">
        <f t="shared" si="25"/>
        <v>Semi Truck Tire Repair North York | Call Now</v>
      </c>
      <c r="C137" s="34" t="str">
        <f t="shared" si="26"/>
        <v>/semi-truck-tire-repair-north-york</v>
      </c>
      <c r="D137" s="37" t="s">
        <v>89</v>
      </c>
      <c r="E137" s="38"/>
      <c r="F137" s="61" t="s">
        <v>74</v>
      </c>
      <c r="G137" s="42"/>
      <c r="H137" s="38"/>
      <c r="I137" s="44"/>
      <c r="J137" s="45"/>
      <c r="K137" s="46"/>
      <c r="L137" s="42"/>
      <c r="M137" s="47" t="s">
        <v>104</v>
      </c>
    </row>
    <row r="138" ht="39.0" customHeight="1">
      <c r="A138" s="49">
        <v>123.0</v>
      </c>
      <c r="B138" s="50" t="str">
        <f t="shared" si="25"/>
        <v>Mobile Truck Tire Repair North York | Call Now</v>
      </c>
      <c r="C138" s="51" t="str">
        <f t="shared" si="26"/>
        <v>/mobile-truck-tire-repair-north-york</v>
      </c>
      <c r="D138" s="52" t="s">
        <v>94</v>
      </c>
      <c r="E138" s="53"/>
      <c r="F138" s="61" t="s">
        <v>74</v>
      </c>
      <c r="G138" s="54"/>
      <c r="H138" s="53"/>
      <c r="I138" s="55"/>
      <c r="J138" s="56"/>
      <c r="K138" s="57"/>
      <c r="L138" s="54"/>
      <c r="M138" s="58" t="s">
        <v>104</v>
      </c>
    </row>
    <row r="139" ht="39.0" customHeight="1">
      <c r="A139" s="17">
        <v>124.0</v>
      </c>
      <c r="B139" s="27" t="str">
        <f t="shared" si="25"/>
        <v>Truck Roadside Assistance North York | Call Now</v>
      </c>
      <c r="C139" s="34" t="str">
        <f t="shared" si="26"/>
        <v>/truck-roadside-assistance-north-york</v>
      </c>
      <c r="D139" s="37" t="s">
        <v>77</v>
      </c>
      <c r="E139" s="38"/>
      <c r="F139" s="61" t="s">
        <v>74</v>
      </c>
      <c r="G139" s="42"/>
      <c r="H139" s="38"/>
      <c r="I139" s="44"/>
      <c r="J139" s="45"/>
      <c r="K139" s="46"/>
      <c r="L139" s="42"/>
      <c r="M139" s="47" t="s">
        <v>104</v>
      </c>
    </row>
    <row r="140" ht="39.0" customHeight="1">
      <c r="A140" s="49">
        <v>125.0</v>
      </c>
      <c r="B140" s="50" t="str">
        <f t="shared" si="25"/>
        <v>Emergency Tire Repair North York | Call Now</v>
      </c>
      <c r="C140" s="51" t="str">
        <f t="shared" si="26"/>
        <v>/emergency-tire-repair-north-york</v>
      </c>
      <c r="D140" s="52" t="s">
        <v>144</v>
      </c>
      <c r="E140" s="53"/>
      <c r="F140" s="61" t="s">
        <v>74</v>
      </c>
      <c r="G140" s="54"/>
      <c r="H140" s="53"/>
      <c r="I140" s="55"/>
      <c r="J140" s="56"/>
      <c r="K140" s="57"/>
      <c r="L140" s="54"/>
      <c r="M140" s="58" t="s">
        <v>104</v>
      </c>
    </row>
    <row r="141" ht="39.0" customHeight="1">
      <c r="A141" s="17">
        <v>126.0</v>
      </c>
      <c r="B141" s="27" t="str">
        <f t="shared" si="25"/>
        <v>24 Hour Tire Repair North York | Call Now</v>
      </c>
      <c r="C141" s="34" t="str">
        <f t="shared" si="26"/>
        <v>/24-hour-tire-repair-north-york</v>
      </c>
      <c r="D141" s="37" t="s">
        <v>184</v>
      </c>
      <c r="E141" s="38"/>
      <c r="F141" s="61" t="s">
        <v>74</v>
      </c>
      <c r="G141" s="42"/>
      <c r="H141" s="38"/>
      <c r="I141" s="44"/>
      <c r="J141" s="45"/>
      <c r="K141" s="46"/>
      <c r="L141" s="42"/>
      <c r="M141" s="47" t="s">
        <v>104</v>
      </c>
    </row>
    <row r="142" ht="39.0" customHeight="1">
      <c r="A142" s="49">
        <v>127.0</v>
      </c>
      <c r="B142" s="50" t="str">
        <f t="shared" si="25"/>
        <v>Roadside Tire Repair North York | Call Now</v>
      </c>
      <c r="C142" s="51" t="str">
        <f t="shared" si="26"/>
        <v>/roadside-tire-repair-north-york</v>
      </c>
      <c r="D142" s="52" t="s">
        <v>159</v>
      </c>
      <c r="E142" s="53"/>
      <c r="F142" s="61" t="s">
        <v>74</v>
      </c>
      <c r="G142" s="54"/>
      <c r="H142" s="53"/>
      <c r="I142" s="55"/>
      <c r="J142" s="56"/>
      <c r="K142" s="57"/>
      <c r="L142" s="54"/>
      <c r="M142" s="58" t="s">
        <v>104</v>
      </c>
    </row>
    <row r="143" ht="39.0" customHeight="1">
      <c r="A143" s="17">
        <v>128.0</v>
      </c>
      <c r="B143" s="27" t="str">
        <f t="shared" si="25"/>
        <v>Mobile Tire Repair North York | Call Now</v>
      </c>
      <c r="C143" s="34" t="str">
        <f t="shared" si="26"/>
        <v>/mobile-tire-repair-north-york</v>
      </c>
      <c r="D143" s="37" t="s">
        <v>133</v>
      </c>
      <c r="E143" s="38"/>
      <c r="F143" s="61" t="s">
        <v>74</v>
      </c>
      <c r="G143" s="42"/>
      <c r="H143" s="38"/>
      <c r="I143" s="44"/>
      <c r="J143" s="45"/>
      <c r="K143" s="46"/>
      <c r="L143" s="42"/>
      <c r="M143" s="47" t="s">
        <v>104</v>
      </c>
    </row>
    <row r="144" ht="39.0" customHeight="1">
      <c r="A144" s="49">
        <v>129.0</v>
      </c>
      <c r="B144" s="50" t="str">
        <f t="shared" si="25"/>
        <v>Tire Repair North York | Call Now</v>
      </c>
      <c r="C144" s="51" t="str">
        <f t="shared" si="26"/>
        <v>/tire-repair-north-york</v>
      </c>
      <c r="D144" s="52" t="s">
        <v>114</v>
      </c>
      <c r="E144" s="53"/>
      <c r="F144" s="61" t="s">
        <v>74</v>
      </c>
      <c r="G144" s="54"/>
      <c r="H144" s="53"/>
      <c r="I144" s="55"/>
      <c r="J144" s="56"/>
      <c r="K144" s="57"/>
      <c r="L144" s="54"/>
      <c r="M144" s="58" t="s">
        <v>104</v>
      </c>
    </row>
    <row r="145" ht="39.0" customHeight="1">
      <c r="A145" s="17">
        <v>130.0</v>
      </c>
      <c r="B145" s="27" t="str">
        <f t="shared" si="25"/>
        <v>Flat Tire Repair North York | Call Now</v>
      </c>
      <c r="C145" s="34" t="str">
        <f t="shared" si="26"/>
        <v>/flat-tire-repair-north-york</v>
      </c>
      <c r="D145" s="37" t="s">
        <v>120</v>
      </c>
      <c r="E145" s="38"/>
      <c r="F145" s="61" t="s">
        <v>74</v>
      </c>
      <c r="G145" s="42"/>
      <c r="H145" s="38"/>
      <c r="I145" s="44"/>
      <c r="J145" s="45"/>
      <c r="K145" s="46"/>
      <c r="L145" s="42"/>
      <c r="M145" s="47" t="s">
        <v>104</v>
      </c>
    </row>
    <row r="146" ht="39.0" customHeight="1">
      <c r="A146" s="49">
        <v>131.0</v>
      </c>
      <c r="B146" s="50" t="str">
        <f t="shared" si="25"/>
        <v>Tire Puncture Repair North York | Call Now</v>
      </c>
      <c r="C146" s="51" t="str">
        <f t="shared" si="26"/>
        <v>/tire-puncture-repair-north-york</v>
      </c>
      <c r="D146" s="52" t="s">
        <v>149</v>
      </c>
      <c r="E146" s="53"/>
      <c r="F146" s="61" t="s">
        <v>74</v>
      </c>
      <c r="G146" s="54"/>
      <c r="H146" s="53"/>
      <c r="I146" s="55"/>
      <c r="J146" s="56"/>
      <c r="K146" s="57"/>
      <c r="L146" s="54"/>
      <c r="M146" s="58" t="s">
        <v>104</v>
      </c>
    </row>
    <row r="147" ht="39.0" customHeight="1">
      <c r="A147" s="17">
        <v>132.0</v>
      </c>
      <c r="B147" s="27" t="str">
        <f t="shared" si="25"/>
        <v>Tire Leak Repair North York | Call Now</v>
      </c>
      <c r="C147" s="34" t="str">
        <f t="shared" si="26"/>
        <v>/tire-leak-repair-north-york</v>
      </c>
      <c r="D147" s="37" t="s">
        <v>168</v>
      </c>
      <c r="E147" s="38"/>
      <c r="F147" s="61" t="s">
        <v>74</v>
      </c>
      <c r="G147" s="42"/>
      <c r="H147" s="38"/>
      <c r="I147" s="44"/>
      <c r="J147" s="45"/>
      <c r="K147" s="46"/>
      <c r="L147" s="42"/>
      <c r="M147" s="47" t="s">
        <v>104</v>
      </c>
    </row>
    <row r="148" ht="27.0" customHeight="1">
      <c r="A148" s="60" t="s">
        <v>318</v>
      </c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5"/>
    </row>
    <row r="149" ht="39.0" customHeight="1">
      <c r="A149" s="49">
        <v>133.0</v>
      </c>
      <c r="B149" s="50" t="str">
        <f t="shared" ref="B149:B160" si="27">PROPER(TRIM(SUBSTITUTE(D149," near me","")))&amp;" "&amp;F149&amp;" | Call Now"</f>
        <v>Truck Tire Repair London Ontario | Call Now</v>
      </c>
      <c r="C149" s="51" t="str">
        <f t="shared" ref="C149:C160" si="28">"/"&amp;SUBSTITUTE(LOWER(TRIM(TRIM(SUBSTITUTE(D149," near me",""))&amp;" "&amp;F149))," ","-")</f>
        <v>/truck-tire-repair-london-ontario</v>
      </c>
      <c r="D149" s="52" t="s">
        <v>47</v>
      </c>
      <c r="E149" s="53"/>
      <c r="F149" s="61" t="s">
        <v>75</v>
      </c>
      <c r="G149" s="54"/>
      <c r="H149" s="53"/>
      <c r="I149" s="55"/>
      <c r="J149" s="56"/>
      <c r="K149" s="57"/>
      <c r="L149" s="54"/>
      <c r="M149" s="58" t="s">
        <v>104</v>
      </c>
    </row>
    <row r="150" ht="39.0" customHeight="1">
      <c r="A150" s="17">
        <v>134.0</v>
      </c>
      <c r="B150" s="27" t="str">
        <f t="shared" si="27"/>
        <v>Semi Truck Tire Repair London Ontario | Call Now</v>
      </c>
      <c r="C150" s="34" t="str">
        <f t="shared" si="28"/>
        <v>/semi-truck-tire-repair-london-ontario</v>
      </c>
      <c r="D150" s="37" t="s">
        <v>89</v>
      </c>
      <c r="E150" s="38"/>
      <c r="F150" s="61" t="s">
        <v>75</v>
      </c>
      <c r="G150" s="42"/>
      <c r="H150" s="38"/>
      <c r="I150" s="44"/>
      <c r="J150" s="45"/>
      <c r="K150" s="46"/>
      <c r="L150" s="42"/>
      <c r="M150" s="47" t="s">
        <v>104</v>
      </c>
    </row>
    <row r="151" ht="39.0" customHeight="1">
      <c r="A151" s="49">
        <v>135.0</v>
      </c>
      <c r="B151" s="50" t="str">
        <f t="shared" si="27"/>
        <v>Mobile Truck Tire Repair London Ontario | Call Now</v>
      </c>
      <c r="C151" s="51" t="str">
        <f t="shared" si="28"/>
        <v>/mobile-truck-tire-repair-london-ontario</v>
      </c>
      <c r="D151" s="52" t="s">
        <v>94</v>
      </c>
      <c r="E151" s="53"/>
      <c r="F151" s="61" t="s">
        <v>75</v>
      </c>
      <c r="G151" s="54"/>
      <c r="H151" s="53"/>
      <c r="I151" s="55"/>
      <c r="J151" s="56"/>
      <c r="K151" s="57"/>
      <c r="L151" s="54"/>
      <c r="M151" s="58" t="s">
        <v>104</v>
      </c>
    </row>
    <row r="152" ht="39.0" customHeight="1">
      <c r="A152" s="17">
        <v>136.0</v>
      </c>
      <c r="B152" s="27" t="str">
        <f t="shared" si="27"/>
        <v>Truck Roadside Assistance London Ontario | Call Now</v>
      </c>
      <c r="C152" s="34" t="str">
        <f t="shared" si="28"/>
        <v>/truck-roadside-assistance-london-ontario</v>
      </c>
      <c r="D152" s="37" t="s">
        <v>77</v>
      </c>
      <c r="E152" s="38"/>
      <c r="F152" s="61" t="s">
        <v>75</v>
      </c>
      <c r="G152" s="42"/>
      <c r="H152" s="38"/>
      <c r="I152" s="44"/>
      <c r="J152" s="45"/>
      <c r="K152" s="46"/>
      <c r="L152" s="42"/>
      <c r="M152" s="47" t="s">
        <v>104</v>
      </c>
    </row>
    <row r="153" ht="39.0" customHeight="1">
      <c r="A153" s="49">
        <v>137.0</v>
      </c>
      <c r="B153" s="50" t="str">
        <f t="shared" si="27"/>
        <v>Emergency Tire Repair London Ontario | Call Now</v>
      </c>
      <c r="C153" s="51" t="str">
        <f t="shared" si="28"/>
        <v>/emergency-tire-repair-london-ontario</v>
      </c>
      <c r="D153" s="52" t="s">
        <v>144</v>
      </c>
      <c r="E153" s="53"/>
      <c r="F153" s="61" t="s">
        <v>75</v>
      </c>
      <c r="G153" s="54"/>
      <c r="H153" s="53"/>
      <c r="I153" s="55"/>
      <c r="J153" s="56"/>
      <c r="K153" s="57"/>
      <c r="L153" s="54"/>
      <c r="M153" s="58" t="s">
        <v>104</v>
      </c>
    </row>
    <row r="154" ht="39.0" customHeight="1">
      <c r="A154" s="17">
        <v>138.0</v>
      </c>
      <c r="B154" s="27" t="str">
        <f t="shared" si="27"/>
        <v>24 Hour Tire Repair London Ontario | Call Now</v>
      </c>
      <c r="C154" s="34" t="str">
        <f t="shared" si="28"/>
        <v>/24-hour-tire-repair-london-ontario</v>
      </c>
      <c r="D154" s="37" t="s">
        <v>184</v>
      </c>
      <c r="E154" s="38"/>
      <c r="F154" s="61" t="s">
        <v>75</v>
      </c>
      <c r="G154" s="42"/>
      <c r="H154" s="38"/>
      <c r="I154" s="44"/>
      <c r="J154" s="45"/>
      <c r="K154" s="46"/>
      <c r="L154" s="42"/>
      <c r="M154" s="47" t="s">
        <v>104</v>
      </c>
    </row>
    <row r="155" ht="39.0" customHeight="1">
      <c r="A155" s="49">
        <v>139.0</v>
      </c>
      <c r="B155" s="50" t="str">
        <f t="shared" si="27"/>
        <v>Roadside Tire Repair London Ontario | Call Now</v>
      </c>
      <c r="C155" s="51" t="str">
        <f t="shared" si="28"/>
        <v>/roadside-tire-repair-london-ontario</v>
      </c>
      <c r="D155" s="52" t="s">
        <v>159</v>
      </c>
      <c r="E155" s="53"/>
      <c r="F155" s="61" t="s">
        <v>75</v>
      </c>
      <c r="G155" s="54"/>
      <c r="H155" s="53"/>
      <c r="I155" s="55"/>
      <c r="J155" s="56"/>
      <c r="K155" s="57"/>
      <c r="L155" s="54"/>
      <c r="M155" s="58" t="s">
        <v>104</v>
      </c>
    </row>
    <row r="156" ht="39.0" customHeight="1">
      <c r="A156" s="17">
        <v>140.0</v>
      </c>
      <c r="B156" s="27" t="str">
        <f t="shared" si="27"/>
        <v>Mobile Tire Repair London Ontario | Call Now</v>
      </c>
      <c r="C156" s="34" t="str">
        <f t="shared" si="28"/>
        <v>/mobile-tire-repair-london-ontario</v>
      </c>
      <c r="D156" s="37" t="s">
        <v>133</v>
      </c>
      <c r="E156" s="38"/>
      <c r="F156" s="61" t="s">
        <v>75</v>
      </c>
      <c r="G156" s="42"/>
      <c r="H156" s="38"/>
      <c r="I156" s="44"/>
      <c r="J156" s="45"/>
      <c r="K156" s="46"/>
      <c r="L156" s="42"/>
      <c r="M156" s="47" t="s">
        <v>104</v>
      </c>
    </row>
    <row r="157" ht="39.0" customHeight="1">
      <c r="A157" s="49">
        <v>141.0</v>
      </c>
      <c r="B157" s="50" t="str">
        <f t="shared" si="27"/>
        <v>Tire Repair London Ontario | Call Now</v>
      </c>
      <c r="C157" s="51" t="str">
        <f t="shared" si="28"/>
        <v>/tire-repair-london-ontario</v>
      </c>
      <c r="D157" s="52" t="s">
        <v>114</v>
      </c>
      <c r="E157" s="53"/>
      <c r="F157" s="61" t="s">
        <v>75</v>
      </c>
      <c r="G157" s="54"/>
      <c r="H157" s="53"/>
      <c r="I157" s="55"/>
      <c r="J157" s="56"/>
      <c r="K157" s="57"/>
      <c r="L157" s="54"/>
      <c r="M157" s="58" t="s">
        <v>104</v>
      </c>
    </row>
    <row r="158" ht="39.0" customHeight="1">
      <c r="A158" s="17">
        <v>142.0</v>
      </c>
      <c r="B158" s="27" t="str">
        <f t="shared" si="27"/>
        <v>Flat Tire Repair London Ontario | Call Now</v>
      </c>
      <c r="C158" s="34" t="str">
        <f t="shared" si="28"/>
        <v>/flat-tire-repair-london-ontario</v>
      </c>
      <c r="D158" s="37" t="s">
        <v>120</v>
      </c>
      <c r="E158" s="38"/>
      <c r="F158" s="61" t="s">
        <v>75</v>
      </c>
      <c r="G158" s="42"/>
      <c r="H158" s="38"/>
      <c r="I158" s="44"/>
      <c r="J158" s="45"/>
      <c r="K158" s="46"/>
      <c r="L158" s="42"/>
      <c r="M158" s="47" t="s">
        <v>104</v>
      </c>
    </row>
    <row r="159" ht="39.0" customHeight="1">
      <c r="A159" s="49">
        <v>143.0</v>
      </c>
      <c r="B159" s="50" t="str">
        <f t="shared" si="27"/>
        <v>Tire Puncture Repair London Ontario | Call Now</v>
      </c>
      <c r="C159" s="51" t="str">
        <f t="shared" si="28"/>
        <v>/tire-puncture-repair-london-ontario</v>
      </c>
      <c r="D159" s="52" t="s">
        <v>149</v>
      </c>
      <c r="E159" s="53"/>
      <c r="F159" s="61" t="s">
        <v>75</v>
      </c>
      <c r="G159" s="54"/>
      <c r="H159" s="53"/>
      <c r="I159" s="55"/>
      <c r="J159" s="56"/>
      <c r="K159" s="57"/>
      <c r="L159" s="54"/>
      <c r="M159" s="58" t="s">
        <v>104</v>
      </c>
    </row>
    <row r="160" ht="39.0" customHeight="1">
      <c r="A160" s="17">
        <v>144.0</v>
      </c>
      <c r="B160" s="27" t="str">
        <f t="shared" si="27"/>
        <v>Tire Leak Repair London Ontario | Call Now</v>
      </c>
      <c r="C160" s="34" t="str">
        <f t="shared" si="28"/>
        <v>/tire-leak-repair-london-ontario</v>
      </c>
      <c r="D160" s="37" t="s">
        <v>168</v>
      </c>
      <c r="E160" s="38"/>
      <c r="F160" s="61" t="s">
        <v>75</v>
      </c>
      <c r="G160" s="42"/>
      <c r="H160" s="38"/>
      <c r="I160" s="44"/>
      <c r="J160" s="45"/>
      <c r="K160" s="46"/>
      <c r="L160" s="42"/>
      <c r="M160" s="47" t="s">
        <v>104</v>
      </c>
    </row>
    <row r="161" ht="27.0" customHeight="1">
      <c r="A161" s="60" t="s">
        <v>319</v>
      </c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5"/>
    </row>
    <row r="162" ht="39.0" customHeight="1">
      <c r="A162" s="49">
        <v>145.0</v>
      </c>
      <c r="B162" s="50" t="str">
        <f t="shared" ref="B162:B173" si="29">PROPER(TRIM(SUBSTITUTE(D162," near me","")))&amp;" "&amp;F162&amp;" | Call Now"</f>
        <v>Truck Tire Repair Surrey BC | Call Now</v>
      </c>
      <c r="C162" s="51" t="str">
        <f t="shared" ref="C162:C173" si="30">"/"&amp;SUBSTITUTE(LOWER(TRIM(TRIM(SUBSTITUTE(D162," near me",""))&amp;" "&amp;F162))," ","-")</f>
        <v>/truck-tire-repair-surrey-bc</v>
      </c>
      <c r="D162" s="52" t="s">
        <v>47</v>
      </c>
      <c r="E162" s="53"/>
      <c r="F162" s="61" t="s">
        <v>76</v>
      </c>
      <c r="G162" s="54"/>
      <c r="H162" s="53"/>
      <c r="I162" s="55"/>
      <c r="J162" s="56"/>
      <c r="K162" s="57"/>
      <c r="L162" s="54"/>
      <c r="M162" s="58" t="s">
        <v>104</v>
      </c>
    </row>
    <row r="163" ht="39.0" customHeight="1">
      <c r="A163" s="17">
        <v>146.0</v>
      </c>
      <c r="B163" s="27" t="str">
        <f t="shared" si="29"/>
        <v>Semi Truck Tire Repair Surrey BC | Call Now</v>
      </c>
      <c r="C163" s="34" t="str">
        <f t="shared" si="30"/>
        <v>/semi-truck-tire-repair-surrey-bc</v>
      </c>
      <c r="D163" s="37" t="s">
        <v>89</v>
      </c>
      <c r="E163" s="38"/>
      <c r="F163" s="61" t="s">
        <v>76</v>
      </c>
      <c r="G163" s="42"/>
      <c r="H163" s="38"/>
      <c r="I163" s="44"/>
      <c r="J163" s="45"/>
      <c r="K163" s="46"/>
      <c r="L163" s="42"/>
      <c r="M163" s="47" t="s">
        <v>104</v>
      </c>
    </row>
    <row r="164" ht="39.0" customHeight="1">
      <c r="A164" s="49">
        <v>147.0</v>
      </c>
      <c r="B164" s="50" t="str">
        <f t="shared" si="29"/>
        <v>Mobile Truck Tire Repair Surrey BC | Call Now</v>
      </c>
      <c r="C164" s="51" t="str">
        <f t="shared" si="30"/>
        <v>/mobile-truck-tire-repair-surrey-bc</v>
      </c>
      <c r="D164" s="52" t="s">
        <v>94</v>
      </c>
      <c r="E164" s="53"/>
      <c r="F164" s="61" t="s">
        <v>76</v>
      </c>
      <c r="G164" s="54"/>
      <c r="H164" s="53"/>
      <c r="I164" s="55"/>
      <c r="J164" s="56"/>
      <c r="K164" s="57"/>
      <c r="L164" s="54"/>
      <c r="M164" s="58" t="s">
        <v>104</v>
      </c>
    </row>
    <row r="165" ht="39.0" customHeight="1">
      <c r="A165" s="17">
        <v>148.0</v>
      </c>
      <c r="B165" s="27" t="str">
        <f t="shared" si="29"/>
        <v>Truck Roadside Assistance Surrey BC | Call Now</v>
      </c>
      <c r="C165" s="34" t="str">
        <f t="shared" si="30"/>
        <v>/truck-roadside-assistance-surrey-bc</v>
      </c>
      <c r="D165" s="37" t="s">
        <v>77</v>
      </c>
      <c r="E165" s="38"/>
      <c r="F165" s="61" t="s">
        <v>76</v>
      </c>
      <c r="G165" s="42"/>
      <c r="H165" s="38"/>
      <c r="I165" s="44"/>
      <c r="J165" s="45"/>
      <c r="K165" s="46"/>
      <c r="L165" s="42"/>
      <c r="M165" s="47" t="s">
        <v>104</v>
      </c>
    </row>
    <row r="166" ht="39.0" customHeight="1">
      <c r="A166" s="49">
        <v>149.0</v>
      </c>
      <c r="B166" s="50" t="str">
        <f t="shared" si="29"/>
        <v>Emergency Tire Repair Surrey BC | Call Now</v>
      </c>
      <c r="C166" s="51" t="str">
        <f t="shared" si="30"/>
        <v>/emergency-tire-repair-surrey-bc</v>
      </c>
      <c r="D166" s="52" t="s">
        <v>144</v>
      </c>
      <c r="E166" s="53"/>
      <c r="F166" s="61" t="s">
        <v>76</v>
      </c>
      <c r="G166" s="54"/>
      <c r="H166" s="53"/>
      <c r="I166" s="55"/>
      <c r="J166" s="56"/>
      <c r="K166" s="57"/>
      <c r="L166" s="54"/>
      <c r="M166" s="58" t="s">
        <v>104</v>
      </c>
    </row>
    <row r="167" ht="39.0" customHeight="1">
      <c r="A167" s="17">
        <v>150.0</v>
      </c>
      <c r="B167" s="27" t="str">
        <f t="shared" si="29"/>
        <v>24 Hour Tire Repair Surrey BC | Call Now</v>
      </c>
      <c r="C167" s="34" t="str">
        <f t="shared" si="30"/>
        <v>/24-hour-tire-repair-surrey-bc</v>
      </c>
      <c r="D167" s="37" t="s">
        <v>184</v>
      </c>
      <c r="E167" s="38"/>
      <c r="F167" s="61" t="s">
        <v>76</v>
      </c>
      <c r="G167" s="42"/>
      <c r="H167" s="38"/>
      <c r="I167" s="44"/>
      <c r="J167" s="45"/>
      <c r="K167" s="46"/>
      <c r="L167" s="42"/>
      <c r="M167" s="47" t="s">
        <v>104</v>
      </c>
    </row>
    <row r="168" ht="39.0" customHeight="1">
      <c r="A168" s="49">
        <v>151.0</v>
      </c>
      <c r="B168" s="50" t="str">
        <f t="shared" si="29"/>
        <v>Roadside Tire Repair Surrey BC | Call Now</v>
      </c>
      <c r="C168" s="51" t="str">
        <f t="shared" si="30"/>
        <v>/roadside-tire-repair-surrey-bc</v>
      </c>
      <c r="D168" s="52" t="s">
        <v>159</v>
      </c>
      <c r="E168" s="53"/>
      <c r="F168" s="61" t="s">
        <v>76</v>
      </c>
      <c r="G168" s="54"/>
      <c r="H168" s="53"/>
      <c r="I168" s="55"/>
      <c r="J168" s="56"/>
      <c r="K168" s="57"/>
      <c r="L168" s="54"/>
      <c r="M168" s="58" t="s">
        <v>104</v>
      </c>
    </row>
    <row r="169" ht="39.0" customHeight="1">
      <c r="A169" s="17">
        <v>152.0</v>
      </c>
      <c r="B169" s="27" t="str">
        <f t="shared" si="29"/>
        <v>Mobile Tire Repair Surrey BC | Call Now</v>
      </c>
      <c r="C169" s="34" t="str">
        <f t="shared" si="30"/>
        <v>/mobile-tire-repair-surrey-bc</v>
      </c>
      <c r="D169" s="37" t="s">
        <v>133</v>
      </c>
      <c r="E169" s="38"/>
      <c r="F169" s="61" t="s">
        <v>76</v>
      </c>
      <c r="G169" s="42"/>
      <c r="H169" s="38"/>
      <c r="I169" s="44"/>
      <c r="J169" s="45"/>
      <c r="K169" s="46"/>
      <c r="L169" s="42"/>
      <c r="M169" s="47" t="s">
        <v>104</v>
      </c>
    </row>
    <row r="170" ht="39.0" customHeight="1">
      <c r="A170" s="49">
        <v>153.0</v>
      </c>
      <c r="B170" s="50" t="str">
        <f t="shared" si="29"/>
        <v>Tire Repair Surrey BC | Call Now</v>
      </c>
      <c r="C170" s="51" t="str">
        <f t="shared" si="30"/>
        <v>/tire-repair-surrey-bc</v>
      </c>
      <c r="D170" s="52" t="s">
        <v>114</v>
      </c>
      <c r="E170" s="53"/>
      <c r="F170" s="61" t="s">
        <v>76</v>
      </c>
      <c r="G170" s="54"/>
      <c r="H170" s="53"/>
      <c r="I170" s="55"/>
      <c r="J170" s="56"/>
      <c r="K170" s="57"/>
      <c r="L170" s="54"/>
      <c r="M170" s="58" t="s">
        <v>104</v>
      </c>
    </row>
    <row r="171" ht="39.0" customHeight="1">
      <c r="A171" s="17">
        <v>154.0</v>
      </c>
      <c r="B171" s="27" t="str">
        <f t="shared" si="29"/>
        <v>Flat Tire Repair Surrey BC | Call Now</v>
      </c>
      <c r="C171" s="34" t="str">
        <f t="shared" si="30"/>
        <v>/flat-tire-repair-surrey-bc</v>
      </c>
      <c r="D171" s="37" t="s">
        <v>120</v>
      </c>
      <c r="E171" s="38"/>
      <c r="F171" s="61" t="s">
        <v>76</v>
      </c>
      <c r="G171" s="42"/>
      <c r="H171" s="38"/>
      <c r="I171" s="44"/>
      <c r="J171" s="45"/>
      <c r="K171" s="46"/>
      <c r="L171" s="42"/>
      <c r="M171" s="47" t="s">
        <v>104</v>
      </c>
    </row>
    <row r="172" ht="39.0" customHeight="1">
      <c r="A172" s="49">
        <v>155.0</v>
      </c>
      <c r="B172" s="50" t="str">
        <f t="shared" si="29"/>
        <v>Tire Puncture Repair Surrey BC | Call Now</v>
      </c>
      <c r="C172" s="51" t="str">
        <f t="shared" si="30"/>
        <v>/tire-puncture-repair-surrey-bc</v>
      </c>
      <c r="D172" s="52" t="s">
        <v>149</v>
      </c>
      <c r="E172" s="53"/>
      <c r="F172" s="61" t="s">
        <v>76</v>
      </c>
      <c r="G172" s="54"/>
      <c r="H172" s="53"/>
      <c r="I172" s="55"/>
      <c r="J172" s="56"/>
      <c r="K172" s="57"/>
      <c r="L172" s="54"/>
      <c r="M172" s="58" t="s">
        <v>104</v>
      </c>
    </row>
    <row r="173" ht="39.0" customHeight="1">
      <c r="A173" s="17">
        <v>156.0</v>
      </c>
      <c r="B173" s="27" t="str">
        <f t="shared" si="29"/>
        <v>Tire Leak Repair Surrey BC | Call Now</v>
      </c>
      <c r="C173" s="34" t="str">
        <f t="shared" si="30"/>
        <v>/tire-leak-repair-surrey-bc</v>
      </c>
      <c r="D173" s="37" t="s">
        <v>168</v>
      </c>
      <c r="E173" s="38"/>
      <c r="F173" s="61" t="s">
        <v>76</v>
      </c>
      <c r="G173" s="42"/>
      <c r="H173" s="38"/>
      <c r="I173" s="44"/>
      <c r="J173" s="45"/>
      <c r="K173" s="46"/>
      <c r="L173" s="42"/>
      <c r="M173" s="47" t="s">
        <v>104</v>
      </c>
    </row>
    <row r="174" ht="27.0" customHeight="1">
      <c r="A174" s="60" t="s">
        <v>320</v>
      </c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5"/>
    </row>
    <row r="175" ht="39.0" customHeight="1">
      <c r="A175" s="49">
        <v>157.0</v>
      </c>
      <c r="B175" s="50" t="str">
        <f t="shared" ref="B175:B186" si="31">PROPER(TRIM(SUBSTITUTE(D175," near me","")))&amp;" "&amp;F175&amp;" | Call Now"</f>
        <v>Truck Tire Repair Mississauga | Call Now</v>
      </c>
      <c r="C175" s="51" t="str">
        <f t="shared" ref="C175:C186" si="32">"/"&amp;SUBSTITUTE(LOWER(TRIM(TRIM(SUBSTITUTE(D175," near me",""))&amp;" "&amp;F175))," ","-")</f>
        <v>/truck-tire-repair-mississauga</v>
      </c>
      <c r="D175" s="52" t="s">
        <v>47</v>
      </c>
      <c r="E175" s="53"/>
      <c r="F175" s="61" t="s">
        <v>78</v>
      </c>
      <c r="G175" s="54"/>
      <c r="H175" s="53"/>
      <c r="I175" s="55"/>
      <c r="J175" s="56"/>
      <c r="K175" s="57"/>
      <c r="L175" s="54"/>
      <c r="M175" s="58" t="s">
        <v>104</v>
      </c>
    </row>
    <row r="176" ht="39.0" customHeight="1">
      <c r="A176" s="17">
        <v>158.0</v>
      </c>
      <c r="B176" s="27" t="str">
        <f t="shared" si="31"/>
        <v>Semi Truck Tire Repair Mississauga | Call Now</v>
      </c>
      <c r="C176" s="34" t="str">
        <f t="shared" si="32"/>
        <v>/semi-truck-tire-repair-mississauga</v>
      </c>
      <c r="D176" s="37" t="s">
        <v>89</v>
      </c>
      <c r="E176" s="38"/>
      <c r="F176" s="61" t="s">
        <v>78</v>
      </c>
      <c r="G176" s="42"/>
      <c r="H176" s="38"/>
      <c r="I176" s="44"/>
      <c r="J176" s="45"/>
      <c r="K176" s="46"/>
      <c r="L176" s="42"/>
      <c r="M176" s="47" t="s">
        <v>104</v>
      </c>
    </row>
    <row r="177" ht="39.0" customHeight="1">
      <c r="A177" s="49">
        <v>159.0</v>
      </c>
      <c r="B177" s="50" t="str">
        <f t="shared" si="31"/>
        <v>Mobile Truck Tire Repair Mississauga | Call Now</v>
      </c>
      <c r="C177" s="51" t="str">
        <f t="shared" si="32"/>
        <v>/mobile-truck-tire-repair-mississauga</v>
      </c>
      <c r="D177" s="52" t="s">
        <v>94</v>
      </c>
      <c r="E177" s="53"/>
      <c r="F177" s="61" t="s">
        <v>78</v>
      </c>
      <c r="G177" s="54"/>
      <c r="H177" s="53"/>
      <c r="I177" s="55"/>
      <c r="J177" s="56"/>
      <c r="K177" s="57"/>
      <c r="L177" s="54"/>
      <c r="M177" s="58" t="s">
        <v>104</v>
      </c>
    </row>
    <row r="178" ht="39.0" customHeight="1">
      <c r="A178" s="17">
        <v>160.0</v>
      </c>
      <c r="B178" s="27" t="str">
        <f t="shared" si="31"/>
        <v>Truck Roadside Assistance Mississauga | Call Now</v>
      </c>
      <c r="C178" s="34" t="str">
        <f t="shared" si="32"/>
        <v>/truck-roadside-assistance-mississauga</v>
      </c>
      <c r="D178" s="37" t="s">
        <v>77</v>
      </c>
      <c r="E178" s="38"/>
      <c r="F178" s="61" t="s">
        <v>78</v>
      </c>
      <c r="G178" s="42"/>
      <c r="H178" s="38"/>
      <c r="I178" s="44"/>
      <c r="J178" s="45"/>
      <c r="K178" s="46"/>
      <c r="L178" s="42"/>
      <c r="M178" s="47" t="s">
        <v>104</v>
      </c>
    </row>
    <row r="179" ht="39.0" customHeight="1">
      <c r="A179" s="49">
        <v>161.0</v>
      </c>
      <c r="B179" s="50" t="str">
        <f t="shared" si="31"/>
        <v>Emergency Tire Repair Mississauga | Call Now</v>
      </c>
      <c r="C179" s="51" t="str">
        <f t="shared" si="32"/>
        <v>/emergency-tire-repair-mississauga</v>
      </c>
      <c r="D179" s="52" t="s">
        <v>144</v>
      </c>
      <c r="E179" s="53"/>
      <c r="F179" s="61" t="s">
        <v>78</v>
      </c>
      <c r="G179" s="54"/>
      <c r="H179" s="53"/>
      <c r="I179" s="55"/>
      <c r="J179" s="56"/>
      <c r="K179" s="57"/>
      <c r="L179" s="54"/>
      <c r="M179" s="58" t="s">
        <v>104</v>
      </c>
    </row>
    <row r="180" ht="39.0" customHeight="1">
      <c r="A180" s="17">
        <v>162.0</v>
      </c>
      <c r="B180" s="27" t="str">
        <f t="shared" si="31"/>
        <v>24 Hour Tire Repair Mississauga | Call Now</v>
      </c>
      <c r="C180" s="34" t="str">
        <f t="shared" si="32"/>
        <v>/24-hour-tire-repair-mississauga</v>
      </c>
      <c r="D180" s="37" t="s">
        <v>184</v>
      </c>
      <c r="E180" s="38"/>
      <c r="F180" s="61" t="s">
        <v>78</v>
      </c>
      <c r="G180" s="42"/>
      <c r="H180" s="38"/>
      <c r="I180" s="44"/>
      <c r="J180" s="45"/>
      <c r="K180" s="46"/>
      <c r="L180" s="42"/>
      <c r="M180" s="47" t="s">
        <v>104</v>
      </c>
    </row>
    <row r="181" ht="39.0" customHeight="1">
      <c r="A181" s="49">
        <v>163.0</v>
      </c>
      <c r="B181" s="50" t="str">
        <f t="shared" si="31"/>
        <v>Roadside Tire Repair Mississauga | Call Now</v>
      </c>
      <c r="C181" s="51" t="str">
        <f t="shared" si="32"/>
        <v>/roadside-tire-repair-mississauga</v>
      </c>
      <c r="D181" s="52" t="s">
        <v>159</v>
      </c>
      <c r="E181" s="53"/>
      <c r="F181" s="61" t="s">
        <v>78</v>
      </c>
      <c r="G181" s="54"/>
      <c r="H181" s="53"/>
      <c r="I181" s="55"/>
      <c r="J181" s="56"/>
      <c r="K181" s="57"/>
      <c r="L181" s="54"/>
      <c r="M181" s="58" t="s">
        <v>104</v>
      </c>
    </row>
    <row r="182" ht="39.0" customHeight="1">
      <c r="A182" s="17">
        <v>164.0</v>
      </c>
      <c r="B182" s="27" t="str">
        <f t="shared" si="31"/>
        <v>Mobile Tire Repair Mississauga | Call Now</v>
      </c>
      <c r="C182" s="34" t="str">
        <f t="shared" si="32"/>
        <v>/mobile-tire-repair-mississauga</v>
      </c>
      <c r="D182" s="37" t="s">
        <v>133</v>
      </c>
      <c r="E182" s="38"/>
      <c r="F182" s="61" t="s">
        <v>78</v>
      </c>
      <c r="G182" s="42"/>
      <c r="H182" s="38"/>
      <c r="I182" s="44"/>
      <c r="J182" s="45"/>
      <c r="K182" s="46"/>
      <c r="L182" s="42"/>
      <c r="M182" s="47" t="s">
        <v>104</v>
      </c>
    </row>
    <row r="183" ht="39.0" customHeight="1">
      <c r="A183" s="49">
        <v>165.0</v>
      </c>
      <c r="B183" s="50" t="str">
        <f t="shared" si="31"/>
        <v>Tire Repair Mississauga | Call Now</v>
      </c>
      <c r="C183" s="51" t="str">
        <f t="shared" si="32"/>
        <v>/tire-repair-mississauga</v>
      </c>
      <c r="D183" s="52" t="s">
        <v>114</v>
      </c>
      <c r="E183" s="53"/>
      <c r="F183" s="61" t="s">
        <v>78</v>
      </c>
      <c r="G183" s="54"/>
      <c r="H183" s="53"/>
      <c r="I183" s="55"/>
      <c r="J183" s="56"/>
      <c r="K183" s="57"/>
      <c r="L183" s="54"/>
      <c r="M183" s="58" t="s">
        <v>104</v>
      </c>
    </row>
    <row r="184" ht="39.0" customHeight="1">
      <c r="A184" s="17">
        <v>166.0</v>
      </c>
      <c r="B184" s="27" t="str">
        <f t="shared" si="31"/>
        <v>Flat Tire Repair Mississauga | Call Now</v>
      </c>
      <c r="C184" s="34" t="str">
        <f t="shared" si="32"/>
        <v>/flat-tire-repair-mississauga</v>
      </c>
      <c r="D184" s="37" t="s">
        <v>120</v>
      </c>
      <c r="E184" s="38"/>
      <c r="F184" s="61" t="s">
        <v>78</v>
      </c>
      <c r="G184" s="42"/>
      <c r="H184" s="38"/>
      <c r="I184" s="44"/>
      <c r="J184" s="45"/>
      <c r="K184" s="46"/>
      <c r="L184" s="42"/>
      <c r="M184" s="47" t="s">
        <v>104</v>
      </c>
    </row>
    <row r="185" ht="39.0" customHeight="1">
      <c r="A185" s="49">
        <v>167.0</v>
      </c>
      <c r="B185" s="50" t="str">
        <f t="shared" si="31"/>
        <v>Tire Puncture Repair Mississauga | Call Now</v>
      </c>
      <c r="C185" s="51" t="str">
        <f t="shared" si="32"/>
        <v>/tire-puncture-repair-mississauga</v>
      </c>
      <c r="D185" s="52" t="s">
        <v>149</v>
      </c>
      <c r="E185" s="53"/>
      <c r="F185" s="61" t="s">
        <v>78</v>
      </c>
      <c r="G185" s="54"/>
      <c r="H185" s="53"/>
      <c r="I185" s="55"/>
      <c r="J185" s="56"/>
      <c r="K185" s="57"/>
      <c r="L185" s="54"/>
      <c r="M185" s="58" t="s">
        <v>104</v>
      </c>
    </row>
    <row r="186" ht="39.0" customHeight="1">
      <c r="A186" s="17">
        <v>168.0</v>
      </c>
      <c r="B186" s="27" t="str">
        <f t="shared" si="31"/>
        <v>Tire Leak Repair Mississauga | Call Now</v>
      </c>
      <c r="C186" s="34" t="str">
        <f t="shared" si="32"/>
        <v>/tire-leak-repair-mississauga</v>
      </c>
      <c r="D186" s="37" t="s">
        <v>168</v>
      </c>
      <c r="E186" s="38"/>
      <c r="F186" s="61" t="s">
        <v>78</v>
      </c>
      <c r="G186" s="42"/>
      <c r="H186" s="38"/>
      <c r="I186" s="44"/>
      <c r="J186" s="45"/>
      <c r="K186" s="46"/>
      <c r="L186" s="42"/>
      <c r="M186" s="47" t="s">
        <v>104</v>
      </c>
    </row>
    <row r="187" ht="27.0" customHeight="1">
      <c r="A187" s="60" t="s">
        <v>321</v>
      </c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5"/>
    </row>
    <row r="188" ht="39.0" customHeight="1">
      <c r="A188" s="49">
        <v>169.0</v>
      </c>
      <c r="B188" s="50" t="str">
        <f t="shared" ref="B188:B199" si="33">PROPER(TRIM(SUBSTITUTE(D188," near me","")))&amp;" "&amp;F188&amp;" | Call Now"</f>
        <v>Truck Tire Repair Toronto | Call Now</v>
      </c>
      <c r="C188" s="51" t="str">
        <f t="shared" ref="C188:C199" si="34">"/"&amp;SUBSTITUTE(LOWER(TRIM(TRIM(SUBSTITUTE(D188," near me",""))&amp;" "&amp;F188))," ","-")</f>
        <v>/truck-tire-repair-toronto</v>
      </c>
      <c r="D188" s="52" t="s">
        <v>47</v>
      </c>
      <c r="E188" s="53"/>
      <c r="F188" s="61" t="s">
        <v>79</v>
      </c>
      <c r="G188" s="54"/>
      <c r="H188" s="53"/>
      <c r="I188" s="55"/>
      <c r="J188" s="56"/>
      <c r="K188" s="57"/>
      <c r="L188" s="54"/>
      <c r="M188" s="58" t="s">
        <v>104</v>
      </c>
    </row>
    <row r="189" ht="39.0" customHeight="1">
      <c r="A189" s="17">
        <v>170.0</v>
      </c>
      <c r="B189" s="27" t="str">
        <f t="shared" si="33"/>
        <v>Semi Truck Tire Repair Toronto | Call Now</v>
      </c>
      <c r="C189" s="34" t="str">
        <f t="shared" si="34"/>
        <v>/semi-truck-tire-repair-toronto</v>
      </c>
      <c r="D189" s="37" t="s">
        <v>89</v>
      </c>
      <c r="E189" s="38"/>
      <c r="F189" s="61" t="s">
        <v>79</v>
      </c>
      <c r="G189" s="42"/>
      <c r="H189" s="38"/>
      <c r="I189" s="44"/>
      <c r="J189" s="45"/>
      <c r="K189" s="46"/>
      <c r="L189" s="42"/>
      <c r="M189" s="47" t="s">
        <v>104</v>
      </c>
    </row>
    <row r="190" ht="39.0" customHeight="1">
      <c r="A190" s="49">
        <v>171.0</v>
      </c>
      <c r="B190" s="50" t="str">
        <f t="shared" si="33"/>
        <v>Mobile Truck Tire Repair Toronto | Call Now</v>
      </c>
      <c r="C190" s="51" t="str">
        <f t="shared" si="34"/>
        <v>/mobile-truck-tire-repair-toronto</v>
      </c>
      <c r="D190" s="52" t="s">
        <v>94</v>
      </c>
      <c r="E190" s="53"/>
      <c r="F190" s="61" t="s">
        <v>79</v>
      </c>
      <c r="G190" s="54"/>
      <c r="H190" s="53"/>
      <c r="I190" s="55"/>
      <c r="J190" s="56"/>
      <c r="K190" s="57"/>
      <c r="L190" s="54"/>
      <c r="M190" s="58" t="s">
        <v>104</v>
      </c>
    </row>
    <row r="191" ht="39.0" customHeight="1">
      <c r="A191" s="17">
        <v>172.0</v>
      </c>
      <c r="B191" s="27" t="str">
        <f t="shared" si="33"/>
        <v>Truck Roadside Assistance Toronto | Call Now</v>
      </c>
      <c r="C191" s="34" t="str">
        <f t="shared" si="34"/>
        <v>/truck-roadside-assistance-toronto</v>
      </c>
      <c r="D191" s="37" t="s">
        <v>77</v>
      </c>
      <c r="E191" s="38"/>
      <c r="F191" s="61" t="s">
        <v>79</v>
      </c>
      <c r="G191" s="42"/>
      <c r="H191" s="38"/>
      <c r="I191" s="44"/>
      <c r="J191" s="45"/>
      <c r="K191" s="46"/>
      <c r="L191" s="42"/>
      <c r="M191" s="47" t="s">
        <v>104</v>
      </c>
    </row>
    <row r="192" ht="39.0" customHeight="1">
      <c r="A192" s="49">
        <v>173.0</v>
      </c>
      <c r="B192" s="50" t="str">
        <f t="shared" si="33"/>
        <v>Emergency Tire Repair Toronto | Call Now</v>
      </c>
      <c r="C192" s="51" t="str">
        <f t="shared" si="34"/>
        <v>/emergency-tire-repair-toronto</v>
      </c>
      <c r="D192" s="52" t="s">
        <v>144</v>
      </c>
      <c r="E192" s="53"/>
      <c r="F192" s="61" t="s">
        <v>79</v>
      </c>
      <c r="G192" s="54"/>
      <c r="H192" s="53"/>
      <c r="I192" s="55"/>
      <c r="J192" s="56"/>
      <c r="K192" s="57"/>
      <c r="L192" s="54"/>
      <c r="M192" s="58" t="s">
        <v>104</v>
      </c>
    </row>
    <row r="193" ht="39.0" customHeight="1">
      <c r="A193" s="17">
        <v>174.0</v>
      </c>
      <c r="B193" s="27" t="str">
        <f t="shared" si="33"/>
        <v>24 Hour Tire Repair Toronto | Call Now</v>
      </c>
      <c r="C193" s="34" t="str">
        <f t="shared" si="34"/>
        <v>/24-hour-tire-repair-toronto</v>
      </c>
      <c r="D193" s="37" t="s">
        <v>184</v>
      </c>
      <c r="E193" s="38"/>
      <c r="F193" s="61" t="s">
        <v>79</v>
      </c>
      <c r="G193" s="42"/>
      <c r="H193" s="38"/>
      <c r="I193" s="44"/>
      <c r="J193" s="45"/>
      <c r="K193" s="46"/>
      <c r="L193" s="42"/>
      <c r="M193" s="47" t="s">
        <v>104</v>
      </c>
    </row>
    <row r="194" ht="39.0" customHeight="1">
      <c r="A194" s="49">
        <v>175.0</v>
      </c>
      <c r="B194" s="50" t="str">
        <f t="shared" si="33"/>
        <v>Roadside Tire Repair Toronto | Call Now</v>
      </c>
      <c r="C194" s="51" t="str">
        <f t="shared" si="34"/>
        <v>/roadside-tire-repair-toronto</v>
      </c>
      <c r="D194" s="52" t="s">
        <v>159</v>
      </c>
      <c r="E194" s="53"/>
      <c r="F194" s="61" t="s">
        <v>79</v>
      </c>
      <c r="G194" s="54"/>
      <c r="H194" s="53"/>
      <c r="I194" s="55"/>
      <c r="J194" s="56"/>
      <c r="K194" s="57"/>
      <c r="L194" s="54"/>
      <c r="M194" s="58" t="s">
        <v>104</v>
      </c>
    </row>
    <row r="195" ht="39.0" customHeight="1">
      <c r="A195" s="17">
        <v>176.0</v>
      </c>
      <c r="B195" s="27" t="str">
        <f t="shared" si="33"/>
        <v>Mobile Tire Repair Toronto | Call Now</v>
      </c>
      <c r="C195" s="34" t="str">
        <f t="shared" si="34"/>
        <v>/mobile-tire-repair-toronto</v>
      </c>
      <c r="D195" s="37" t="s">
        <v>133</v>
      </c>
      <c r="E195" s="38"/>
      <c r="F195" s="61" t="s">
        <v>79</v>
      </c>
      <c r="G195" s="42"/>
      <c r="H195" s="38"/>
      <c r="I195" s="44"/>
      <c r="J195" s="45"/>
      <c r="K195" s="46"/>
      <c r="L195" s="42"/>
      <c r="M195" s="47" t="s">
        <v>104</v>
      </c>
    </row>
    <row r="196" ht="39.0" customHeight="1">
      <c r="A196" s="49">
        <v>177.0</v>
      </c>
      <c r="B196" s="50" t="str">
        <f t="shared" si="33"/>
        <v>Tire Repair Toronto | Call Now</v>
      </c>
      <c r="C196" s="51" t="str">
        <f t="shared" si="34"/>
        <v>/tire-repair-toronto</v>
      </c>
      <c r="D196" s="52" t="s">
        <v>114</v>
      </c>
      <c r="E196" s="53"/>
      <c r="F196" s="61" t="s">
        <v>79</v>
      </c>
      <c r="G196" s="54"/>
      <c r="H196" s="53"/>
      <c r="I196" s="55"/>
      <c r="J196" s="56"/>
      <c r="K196" s="57"/>
      <c r="L196" s="54"/>
      <c r="M196" s="58" t="s">
        <v>104</v>
      </c>
    </row>
    <row r="197" ht="39.0" customHeight="1">
      <c r="A197" s="17">
        <v>178.0</v>
      </c>
      <c r="B197" s="27" t="str">
        <f t="shared" si="33"/>
        <v>Flat Tire Repair Toronto | Call Now</v>
      </c>
      <c r="C197" s="34" t="str">
        <f t="shared" si="34"/>
        <v>/flat-tire-repair-toronto</v>
      </c>
      <c r="D197" s="37" t="s">
        <v>120</v>
      </c>
      <c r="E197" s="38"/>
      <c r="F197" s="61" t="s">
        <v>79</v>
      </c>
      <c r="G197" s="42"/>
      <c r="H197" s="38"/>
      <c r="I197" s="44"/>
      <c r="J197" s="45"/>
      <c r="K197" s="46"/>
      <c r="L197" s="42"/>
      <c r="M197" s="47" t="s">
        <v>104</v>
      </c>
    </row>
    <row r="198" ht="39.0" customHeight="1">
      <c r="A198" s="49">
        <v>179.0</v>
      </c>
      <c r="B198" s="50" t="str">
        <f t="shared" si="33"/>
        <v>Tire Puncture Repair Toronto | Call Now</v>
      </c>
      <c r="C198" s="51" t="str">
        <f t="shared" si="34"/>
        <v>/tire-puncture-repair-toronto</v>
      </c>
      <c r="D198" s="52" t="s">
        <v>149</v>
      </c>
      <c r="E198" s="53"/>
      <c r="F198" s="61" t="s">
        <v>79</v>
      </c>
      <c r="G198" s="54"/>
      <c r="H198" s="53"/>
      <c r="I198" s="55"/>
      <c r="J198" s="56"/>
      <c r="K198" s="57"/>
      <c r="L198" s="54"/>
      <c r="M198" s="58" t="s">
        <v>104</v>
      </c>
    </row>
    <row r="199" ht="39.0" customHeight="1">
      <c r="A199" s="17">
        <v>180.0</v>
      </c>
      <c r="B199" s="27" t="str">
        <f t="shared" si="33"/>
        <v>Tire Leak Repair Toronto | Call Now</v>
      </c>
      <c r="C199" s="34" t="str">
        <f t="shared" si="34"/>
        <v>/tire-leak-repair-toronto</v>
      </c>
      <c r="D199" s="37" t="s">
        <v>168</v>
      </c>
      <c r="E199" s="38"/>
      <c r="F199" s="61" t="s">
        <v>79</v>
      </c>
      <c r="G199" s="42"/>
      <c r="H199" s="38"/>
      <c r="I199" s="44"/>
      <c r="J199" s="45"/>
      <c r="K199" s="46"/>
      <c r="L199" s="42"/>
      <c r="M199" s="47" t="s">
        <v>104</v>
      </c>
    </row>
    <row r="200" ht="27.0" customHeight="1">
      <c r="A200" s="60" t="s">
        <v>322</v>
      </c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5"/>
    </row>
    <row r="201" ht="39.0" customHeight="1">
      <c r="A201" s="49">
        <v>181.0</v>
      </c>
      <c r="B201" s="50" t="str">
        <f t="shared" ref="B201:B212" si="35">PROPER(TRIM(SUBSTITUTE(D201," near me","")))&amp;" "&amp;F201&amp;" | Call Now"</f>
        <v>Truck Tire Repair Halifax | Call Now</v>
      </c>
      <c r="C201" s="51" t="str">
        <f t="shared" ref="C201:C212" si="36">"/"&amp;SUBSTITUTE(LOWER(TRIM(TRIM(SUBSTITUTE(D201," near me",""))&amp;" "&amp;F201))," ","-")</f>
        <v>/truck-tire-repair-halifax</v>
      </c>
      <c r="D201" s="52" t="s">
        <v>47</v>
      </c>
      <c r="E201" s="53"/>
      <c r="F201" s="61" t="s">
        <v>80</v>
      </c>
      <c r="G201" s="54"/>
      <c r="H201" s="53"/>
      <c r="I201" s="55"/>
      <c r="J201" s="56"/>
      <c r="K201" s="57"/>
      <c r="L201" s="54"/>
      <c r="M201" s="58" t="s">
        <v>104</v>
      </c>
    </row>
    <row r="202" ht="39.0" customHeight="1">
      <c r="A202" s="17">
        <v>182.0</v>
      </c>
      <c r="B202" s="27" t="str">
        <f t="shared" si="35"/>
        <v>Semi Truck Tire Repair Halifax | Call Now</v>
      </c>
      <c r="C202" s="34" t="str">
        <f t="shared" si="36"/>
        <v>/semi-truck-tire-repair-halifax</v>
      </c>
      <c r="D202" s="37" t="s">
        <v>89</v>
      </c>
      <c r="E202" s="38"/>
      <c r="F202" s="61" t="s">
        <v>80</v>
      </c>
      <c r="G202" s="42"/>
      <c r="H202" s="38"/>
      <c r="I202" s="44"/>
      <c r="J202" s="45"/>
      <c r="K202" s="46"/>
      <c r="L202" s="42"/>
      <c r="M202" s="47" t="s">
        <v>104</v>
      </c>
    </row>
    <row r="203" ht="39.0" customHeight="1">
      <c r="A203" s="49">
        <v>183.0</v>
      </c>
      <c r="B203" s="50" t="str">
        <f t="shared" si="35"/>
        <v>Mobile Truck Tire Repair Halifax | Call Now</v>
      </c>
      <c r="C203" s="51" t="str">
        <f t="shared" si="36"/>
        <v>/mobile-truck-tire-repair-halifax</v>
      </c>
      <c r="D203" s="52" t="s">
        <v>94</v>
      </c>
      <c r="E203" s="53"/>
      <c r="F203" s="61" t="s">
        <v>80</v>
      </c>
      <c r="G203" s="54"/>
      <c r="H203" s="53"/>
      <c r="I203" s="55"/>
      <c r="J203" s="56"/>
      <c r="K203" s="57"/>
      <c r="L203" s="54"/>
      <c r="M203" s="58" t="s">
        <v>104</v>
      </c>
    </row>
    <row r="204" ht="39.0" customHeight="1">
      <c r="A204" s="17">
        <v>184.0</v>
      </c>
      <c r="B204" s="27" t="str">
        <f t="shared" si="35"/>
        <v>Truck Roadside Assistance Halifax | Call Now</v>
      </c>
      <c r="C204" s="34" t="str">
        <f t="shared" si="36"/>
        <v>/truck-roadside-assistance-halifax</v>
      </c>
      <c r="D204" s="37" t="s">
        <v>77</v>
      </c>
      <c r="E204" s="38"/>
      <c r="F204" s="61" t="s">
        <v>80</v>
      </c>
      <c r="G204" s="42"/>
      <c r="H204" s="38"/>
      <c r="I204" s="44"/>
      <c r="J204" s="45"/>
      <c r="K204" s="46"/>
      <c r="L204" s="42"/>
      <c r="M204" s="47" t="s">
        <v>104</v>
      </c>
    </row>
    <row r="205" ht="39.0" customHeight="1">
      <c r="A205" s="49">
        <v>185.0</v>
      </c>
      <c r="B205" s="50" t="str">
        <f t="shared" si="35"/>
        <v>Emergency Tire Repair Halifax | Call Now</v>
      </c>
      <c r="C205" s="51" t="str">
        <f t="shared" si="36"/>
        <v>/emergency-tire-repair-halifax</v>
      </c>
      <c r="D205" s="52" t="s">
        <v>144</v>
      </c>
      <c r="E205" s="53"/>
      <c r="F205" s="61" t="s">
        <v>80</v>
      </c>
      <c r="G205" s="54"/>
      <c r="H205" s="53"/>
      <c r="I205" s="55"/>
      <c r="J205" s="56"/>
      <c r="K205" s="57"/>
      <c r="L205" s="54"/>
      <c r="M205" s="58" t="s">
        <v>104</v>
      </c>
    </row>
    <row r="206" ht="39.0" customHeight="1">
      <c r="A206" s="17">
        <v>186.0</v>
      </c>
      <c r="B206" s="27" t="str">
        <f t="shared" si="35"/>
        <v>24 Hour Tire Repair Halifax | Call Now</v>
      </c>
      <c r="C206" s="34" t="str">
        <f t="shared" si="36"/>
        <v>/24-hour-tire-repair-halifax</v>
      </c>
      <c r="D206" s="37" t="s">
        <v>184</v>
      </c>
      <c r="E206" s="38"/>
      <c r="F206" s="61" t="s">
        <v>80</v>
      </c>
      <c r="G206" s="42"/>
      <c r="H206" s="38"/>
      <c r="I206" s="44"/>
      <c r="J206" s="45"/>
      <c r="K206" s="46"/>
      <c r="L206" s="42"/>
      <c r="M206" s="47" t="s">
        <v>104</v>
      </c>
    </row>
    <row r="207" ht="39.0" customHeight="1">
      <c r="A207" s="49">
        <v>187.0</v>
      </c>
      <c r="B207" s="50" t="str">
        <f t="shared" si="35"/>
        <v>Roadside Tire Repair Halifax | Call Now</v>
      </c>
      <c r="C207" s="51" t="str">
        <f t="shared" si="36"/>
        <v>/roadside-tire-repair-halifax</v>
      </c>
      <c r="D207" s="52" t="s">
        <v>159</v>
      </c>
      <c r="E207" s="53"/>
      <c r="F207" s="61" t="s">
        <v>80</v>
      </c>
      <c r="G207" s="54"/>
      <c r="H207" s="53"/>
      <c r="I207" s="55"/>
      <c r="J207" s="56"/>
      <c r="K207" s="57"/>
      <c r="L207" s="54"/>
      <c r="M207" s="58" t="s">
        <v>104</v>
      </c>
    </row>
    <row r="208" ht="39.0" customHeight="1">
      <c r="A208" s="17">
        <v>188.0</v>
      </c>
      <c r="B208" s="27" t="str">
        <f t="shared" si="35"/>
        <v>Mobile Tire Repair Halifax | Call Now</v>
      </c>
      <c r="C208" s="34" t="str">
        <f t="shared" si="36"/>
        <v>/mobile-tire-repair-halifax</v>
      </c>
      <c r="D208" s="37" t="s">
        <v>133</v>
      </c>
      <c r="E208" s="38"/>
      <c r="F208" s="61" t="s">
        <v>80</v>
      </c>
      <c r="G208" s="42"/>
      <c r="H208" s="38"/>
      <c r="I208" s="44"/>
      <c r="J208" s="45"/>
      <c r="K208" s="46"/>
      <c r="L208" s="42"/>
      <c r="M208" s="47" t="s">
        <v>104</v>
      </c>
    </row>
    <row r="209" ht="39.0" customHeight="1">
      <c r="A209" s="49">
        <v>189.0</v>
      </c>
      <c r="B209" s="50" t="str">
        <f t="shared" si="35"/>
        <v>Tire Repair Halifax | Call Now</v>
      </c>
      <c r="C209" s="51" t="str">
        <f t="shared" si="36"/>
        <v>/tire-repair-halifax</v>
      </c>
      <c r="D209" s="52" t="s">
        <v>114</v>
      </c>
      <c r="E209" s="53"/>
      <c r="F209" s="61" t="s">
        <v>80</v>
      </c>
      <c r="G209" s="54"/>
      <c r="H209" s="53"/>
      <c r="I209" s="55"/>
      <c r="J209" s="56"/>
      <c r="K209" s="57"/>
      <c r="L209" s="54"/>
      <c r="M209" s="58" t="s">
        <v>104</v>
      </c>
    </row>
    <row r="210" ht="39.0" customHeight="1">
      <c r="A210" s="17">
        <v>190.0</v>
      </c>
      <c r="B210" s="27" t="str">
        <f t="shared" si="35"/>
        <v>Flat Tire Repair Halifax | Call Now</v>
      </c>
      <c r="C210" s="34" t="str">
        <f t="shared" si="36"/>
        <v>/flat-tire-repair-halifax</v>
      </c>
      <c r="D210" s="37" t="s">
        <v>120</v>
      </c>
      <c r="E210" s="38"/>
      <c r="F210" s="61" t="s">
        <v>80</v>
      </c>
      <c r="G210" s="42"/>
      <c r="H210" s="38"/>
      <c r="I210" s="44"/>
      <c r="J210" s="45"/>
      <c r="K210" s="46"/>
      <c r="L210" s="42"/>
      <c r="M210" s="47" t="s">
        <v>104</v>
      </c>
    </row>
    <row r="211" ht="39.0" customHeight="1">
      <c r="A211" s="49">
        <v>191.0</v>
      </c>
      <c r="B211" s="50" t="str">
        <f t="shared" si="35"/>
        <v>Tire Puncture Repair Halifax | Call Now</v>
      </c>
      <c r="C211" s="51" t="str">
        <f t="shared" si="36"/>
        <v>/tire-puncture-repair-halifax</v>
      </c>
      <c r="D211" s="52" t="s">
        <v>149</v>
      </c>
      <c r="E211" s="53"/>
      <c r="F211" s="61" t="s">
        <v>80</v>
      </c>
      <c r="G211" s="54"/>
      <c r="H211" s="53"/>
      <c r="I211" s="55"/>
      <c r="J211" s="56"/>
      <c r="K211" s="57"/>
      <c r="L211" s="54"/>
      <c r="M211" s="58" t="s">
        <v>104</v>
      </c>
    </row>
    <row r="212" ht="39.0" customHeight="1">
      <c r="A212" s="17">
        <v>192.0</v>
      </c>
      <c r="B212" s="27" t="str">
        <f t="shared" si="35"/>
        <v>Tire Leak Repair Halifax | Call Now</v>
      </c>
      <c r="C212" s="34" t="str">
        <f t="shared" si="36"/>
        <v>/tire-leak-repair-halifax</v>
      </c>
      <c r="D212" s="37" t="s">
        <v>168</v>
      </c>
      <c r="E212" s="38"/>
      <c r="F212" s="61" t="s">
        <v>80</v>
      </c>
      <c r="G212" s="42"/>
      <c r="H212" s="38"/>
      <c r="I212" s="44"/>
      <c r="J212" s="45"/>
      <c r="K212" s="46"/>
      <c r="L212" s="42"/>
      <c r="M212" s="47" t="s">
        <v>104</v>
      </c>
    </row>
    <row r="213" ht="27.0" customHeight="1">
      <c r="A213" s="60" t="s">
        <v>323</v>
      </c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5"/>
    </row>
    <row r="214" ht="39.0" customHeight="1">
      <c r="A214" s="49">
        <v>193.0</v>
      </c>
      <c r="B214" s="50" t="str">
        <f t="shared" ref="B214:B225" si="37">PROPER(TRIM(SUBSTITUTE(D214," near me","")))&amp;" "&amp;F214&amp;" | Call Now"</f>
        <v>Truck Tire Repair Regina | Call Now</v>
      </c>
      <c r="C214" s="51" t="str">
        <f t="shared" ref="C214:C225" si="38">"/"&amp;SUBSTITUTE(LOWER(TRIM(TRIM(SUBSTITUTE(D214," near me",""))&amp;" "&amp;F214))," ","-")</f>
        <v>/truck-tire-repair-regina</v>
      </c>
      <c r="D214" s="52" t="s">
        <v>47</v>
      </c>
      <c r="E214" s="53"/>
      <c r="F214" s="61" t="s">
        <v>81</v>
      </c>
      <c r="G214" s="54"/>
      <c r="H214" s="53"/>
      <c r="I214" s="55"/>
      <c r="J214" s="56"/>
      <c r="K214" s="57"/>
      <c r="L214" s="54"/>
      <c r="M214" s="58" t="s">
        <v>104</v>
      </c>
    </row>
    <row r="215" ht="39.0" customHeight="1">
      <c r="A215" s="17">
        <v>194.0</v>
      </c>
      <c r="B215" s="27" t="str">
        <f t="shared" si="37"/>
        <v>Semi Truck Tire Repair Regina | Call Now</v>
      </c>
      <c r="C215" s="34" t="str">
        <f t="shared" si="38"/>
        <v>/semi-truck-tire-repair-regina</v>
      </c>
      <c r="D215" s="37" t="s">
        <v>89</v>
      </c>
      <c r="E215" s="38"/>
      <c r="F215" s="61" t="s">
        <v>81</v>
      </c>
      <c r="G215" s="42"/>
      <c r="H215" s="38"/>
      <c r="I215" s="44"/>
      <c r="J215" s="45"/>
      <c r="K215" s="46"/>
      <c r="L215" s="42"/>
      <c r="M215" s="47" t="s">
        <v>104</v>
      </c>
    </row>
    <row r="216" ht="39.0" customHeight="1">
      <c r="A216" s="49">
        <v>195.0</v>
      </c>
      <c r="B216" s="50" t="str">
        <f t="shared" si="37"/>
        <v>Mobile Truck Tire Repair Regina | Call Now</v>
      </c>
      <c r="C216" s="51" t="str">
        <f t="shared" si="38"/>
        <v>/mobile-truck-tire-repair-regina</v>
      </c>
      <c r="D216" s="52" t="s">
        <v>94</v>
      </c>
      <c r="E216" s="53"/>
      <c r="F216" s="61" t="s">
        <v>81</v>
      </c>
      <c r="G216" s="54"/>
      <c r="H216" s="53"/>
      <c r="I216" s="55"/>
      <c r="J216" s="56"/>
      <c r="K216" s="57"/>
      <c r="L216" s="54"/>
      <c r="M216" s="58" t="s">
        <v>104</v>
      </c>
    </row>
    <row r="217" ht="39.0" customHeight="1">
      <c r="A217" s="17">
        <v>196.0</v>
      </c>
      <c r="B217" s="27" t="str">
        <f t="shared" si="37"/>
        <v>Truck Roadside Assistance Regina | Call Now</v>
      </c>
      <c r="C217" s="34" t="str">
        <f t="shared" si="38"/>
        <v>/truck-roadside-assistance-regina</v>
      </c>
      <c r="D217" s="37" t="s">
        <v>77</v>
      </c>
      <c r="E217" s="38"/>
      <c r="F217" s="61" t="s">
        <v>81</v>
      </c>
      <c r="G217" s="42"/>
      <c r="H217" s="38"/>
      <c r="I217" s="44"/>
      <c r="J217" s="45"/>
      <c r="K217" s="46"/>
      <c r="L217" s="42"/>
      <c r="M217" s="47" t="s">
        <v>104</v>
      </c>
    </row>
    <row r="218" ht="39.0" customHeight="1">
      <c r="A218" s="49">
        <v>197.0</v>
      </c>
      <c r="B218" s="50" t="str">
        <f t="shared" si="37"/>
        <v>Emergency Tire Repair Regina | Call Now</v>
      </c>
      <c r="C218" s="51" t="str">
        <f t="shared" si="38"/>
        <v>/emergency-tire-repair-regina</v>
      </c>
      <c r="D218" s="52" t="s">
        <v>144</v>
      </c>
      <c r="E218" s="53"/>
      <c r="F218" s="61" t="s">
        <v>81</v>
      </c>
      <c r="G218" s="54"/>
      <c r="H218" s="53"/>
      <c r="I218" s="55"/>
      <c r="J218" s="56"/>
      <c r="K218" s="57"/>
      <c r="L218" s="54"/>
      <c r="M218" s="58" t="s">
        <v>104</v>
      </c>
    </row>
    <row r="219" ht="39.0" customHeight="1">
      <c r="A219" s="17">
        <v>198.0</v>
      </c>
      <c r="B219" s="27" t="str">
        <f t="shared" si="37"/>
        <v>24 Hour Tire Repair Regina | Call Now</v>
      </c>
      <c r="C219" s="34" t="str">
        <f t="shared" si="38"/>
        <v>/24-hour-tire-repair-regina</v>
      </c>
      <c r="D219" s="37" t="s">
        <v>184</v>
      </c>
      <c r="E219" s="38"/>
      <c r="F219" s="61" t="s">
        <v>81</v>
      </c>
      <c r="G219" s="42"/>
      <c r="H219" s="38"/>
      <c r="I219" s="44"/>
      <c r="J219" s="45"/>
      <c r="K219" s="46"/>
      <c r="L219" s="42"/>
      <c r="M219" s="47" t="s">
        <v>104</v>
      </c>
    </row>
    <row r="220" ht="39.0" customHeight="1">
      <c r="A220" s="49">
        <v>199.0</v>
      </c>
      <c r="B220" s="50" t="str">
        <f t="shared" si="37"/>
        <v>Roadside Tire Repair Regina | Call Now</v>
      </c>
      <c r="C220" s="51" t="str">
        <f t="shared" si="38"/>
        <v>/roadside-tire-repair-regina</v>
      </c>
      <c r="D220" s="52" t="s">
        <v>159</v>
      </c>
      <c r="E220" s="53"/>
      <c r="F220" s="61" t="s">
        <v>81</v>
      </c>
      <c r="G220" s="54"/>
      <c r="H220" s="53"/>
      <c r="I220" s="55"/>
      <c r="J220" s="56"/>
      <c r="K220" s="57"/>
      <c r="L220" s="54"/>
      <c r="M220" s="58" t="s">
        <v>104</v>
      </c>
    </row>
    <row r="221" ht="39.0" customHeight="1">
      <c r="A221" s="17">
        <v>200.0</v>
      </c>
      <c r="B221" s="27" t="str">
        <f t="shared" si="37"/>
        <v>Mobile Tire Repair Regina | Call Now</v>
      </c>
      <c r="C221" s="34" t="str">
        <f t="shared" si="38"/>
        <v>/mobile-tire-repair-regina</v>
      </c>
      <c r="D221" s="37" t="s">
        <v>133</v>
      </c>
      <c r="E221" s="38"/>
      <c r="F221" s="61" t="s">
        <v>81</v>
      </c>
      <c r="G221" s="42"/>
      <c r="H221" s="38"/>
      <c r="I221" s="44"/>
      <c r="J221" s="45"/>
      <c r="K221" s="46"/>
      <c r="L221" s="42"/>
      <c r="M221" s="47" t="s">
        <v>104</v>
      </c>
    </row>
    <row r="222" ht="39.0" customHeight="1">
      <c r="A222" s="49">
        <v>201.0</v>
      </c>
      <c r="B222" s="50" t="str">
        <f t="shared" si="37"/>
        <v>Tire Repair Regina | Call Now</v>
      </c>
      <c r="C222" s="51" t="str">
        <f t="shared" si="38"/>
        <v>/tire-repair-regina</v>
      </c>
      <c r="D222" s="52" t="s">
        <v>114</v>
      </c>
      <c r="E222" s="53"/>
      <c r="F222" s="61" t="s">
        <v>81</v>
      </c>
      <c r="G222" s="54"/>
      <c r="H222" s="53"/>
      <c r="I222" s="55"/>
      <c r="J222" s="56"/>
      <c r="K222" s="57"/>
      <c r="L222" s="54"/>
      <c r="M222" s="58" t="s">
        <v>104</v>
      </c>
    </row>
    <row r="223" ht="39.0" customHeight="1">
      <c r="A223" s="17">
        <v>202.0</v>
      </c>
      <c r="B223" s="27" t="str">
        <f t="shared" si="37"/>
        <v>Flat Tire Repair Regina | Call Now</v>
      </c>
      <c r="C223" s="34" t="str">
        <f t="shared" si="38"/>
        <v>/flat-tire-repair-regina</v>
      </c>
      <c r="D223" s="37" t="s">
        <v>120</v>
      </c>
      <c r="E223" s="38"/>
      <c r="F223" s="61" t="s">
        <v>81</v>
      </c>
      <c r="G223" s="42"/>
      <c r="H223" s="38"/>
      <c r="I223" s="44"/>
      <c r="J223" s="45"/>
      <c r="K223" s="46"/>
      <c r="L223" s="42"/>
      <c r="M223" s="47" t="s">
        <v>104</v>
      </c>
    </row>
    <row r="224" ht="39.0" customHeight="1">
      <c r="A224" s="49">
        <v>203.0</v>
      </c>
      <c r="B224" s="50" t="str">
        <f t="shared" si="37"/>
        <v>Tire Puncture Repair Regina | Call Now</v>
      </c>
      <c r="C224" s="51" t="str">
        <f t="shared" si="38"/>
        <v>/tire-puncture-repair-regina</v>
      </c>
      <c r="D224" s="52" t="s">
        <v>149</v>
      </c>
      <c r="E224" s="53"/>
      <c r="F224" s="61" t="s">
        <v>81</v>
      </c>
      <c r="G224" s="54"/>
      <c r="H224" s="53"/>
      <c r="I224" s="55"/>
      <c r="J224" s="56"/>
      <c r="K224" s="57"/>
      <c r="L224" s="54"/>
      <c r="M224" s="58" t="s">
        <v>104</v>
      </c>
    </row>
    <row r="225" ht="39.0" customHeight="1">
      <c r="A225" s="17">
        <v>204.0</v>
      </c>
      <c r="B225" s="27" t="str">
        <f t="shared" si="37"/>
        <v>Tire Leak Repair Regina | Call Now</v>
      </c>
      <c r="C225" s="34" t="str">
        <f t="shared" si="38"/>
        <v>/tire-leak-repair-regina</v>
      </c>
      <c r="D225" s="37" t="s">
        <v>168</v>
      </c>
      <c r="E225" s="38"/>
      <c r="F225" s="61" t="s">
        <v>81</v>
      </c>
      <c r="G225" s="42"/>
      <c r="H225" s="38"/>
      <c r="I225" s="44"/>
      <c r="J225" s="45"/>
      <c r="K225" s="46"/>
      <c r="L225" s="42"/>
      <c r="M225" s="47" t="s">
        <v>104</v>
      </c>
    </row>
    <row r="226" ht="27.0" customHeight="1">
      <c r="A226" s="60" t="s">
        <v>324</v>
      </c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5"/>
    </row>
    <row r="227" ht="39.0" customHeight="1">
      <c r="A227" s="49">
        <v>205.0</v>
      </c>
      <c r="B227" s="50" t="str">
        <f t="shared" ref="B227:B238" si="39">PROPER(TRIM(SUBSTITUTE(D227," near me","")))&amp;" "&amp;F227&amp;" | Call Now"</f>
        <v>Truck Tire Repair Vancouver | Call Now</v>
      </c>
      <c r="C227" s="51" t="str">
        <f t="shared" ref="C227:C238" si="40">"/"&amp;SUBSTITUTE(LOWER(TRIM(TRIM(SUBSTITUTE(D227," near me",""))&amp;" "&amp;F227))," ","-")</f>
        <v>/truck-tire-repair-vancouver</v>
      </c>
      <c r="D227" s="52" t="s">
        <v>47</v>
      </c>
      <c r="E227" s="53"/>
      <c r="F227" s="61" t="s">
        <v>82</v>
      </c>
      <c r="G227" s="54"/>
      <c r="H227" s="53"/>
      <c r="I227" s="55"/>
      <c r="J227" s="56"/>
      <c r="K227" s="57"/>
      <c r="L227" s="54"/>
      <c r="M227" s="58" t="s">
        <v>104</v>
      </c>
    </row>
    <row r="228" ht="39.0" customHeight="1">
      <c r="A228" s="17">
        <v>206.0</v>
      </c>
      <c r="B228" s="27" t="str">
        <f t="shared" si="39"/>
        <v>Semi Truck Tire Repair Vancouver | Call Now</v>
      </c>
      <c r="C228" s="34" t="str">
        <f t="shared" si="40"/>
        <v>/semi-truck-tire-repair-vancouver</v>
      </c>
      <c r="D228" s="37" t="s">
        <v>89</v>
      </c>
      <c r="E228" s="38"/>
      <c r="F228" s="61" t="s">
        <v>82</v>
      </c>
      <c r="G228" s="42"/>
      <c r="H228" s="38"/>
      <c r="I228" s="44"/>
      <c r="J228" s="45"/>
      <c r="K228" s="46"/>
      <c r="L228" s="42"/>
      <c r="M228" s="47" t="s">
        <v>104</v>
      </c>
    </row>
    <row r="229" ht="39.0" customHeight="1">
      <c r="A229" s="49">
        <v>207.0</v>
      </c>
      <c r="B229" s="50" t="str">
        <f t="shared" si="39"/>
        <v>Mobile Truck Tire Repair Vancouver | Call Now</v>
      </c>
      <c r="C229" s="51" t="str">
        <f t="shared" si="40"/>
        <v>/mobile-truck-tire-repair-vancouver</v>
      </c>
      <c r="D229" s="52" t="s">
        <v>94</v>
      </c>
      <c r="E229" s="53"/>
      <c r="F229" s="61" t="s">
        <v>82</v>
      </c>
      <c r="G229" s="54"/>
      <c r="H229" s="53"/>
      <c r="I229" s="55"/>
      <c r="J229" s="56"/>
      <c r="K229" s="57"/>
      <c r="L229" s="54"/>
      <c r="M229" s="58" t="s">
        <v>104</v>
      </c>
    </row>
    <row r="230" ht="39.0" customHeight="1">
      <c r="A230" s="17">
        <v>208.0</v>
      </c>
      <c r="B230" s="27" t="str">
        <f t="shared" si="39"/>
        <v>Truck Roadside Assistance Vancouver | Call Now</v>
      </c>
      <c r="C230" s="34" t="str">
        <f t="shared" si="40"/>
        <v>/truck-roadside-assistance-vancouver</v>
      </c>
      <c r="D230" s="37" t="s">
        <v>77</v>
      </c>
      <c r="E230" s="38"/>
      <c r="F230" s="61" t="s">
        <v>82</v>
      </c>
      <c r="G230" s="42"/>
      <c r="H230" s="38"/>
      <c r="I230" s="44"/>
      <c r="J230" s="45"/>
      <c r="K230" s="46"/>
      <c r="L230" s="42"/>
      <c r="M230" s="47" t="s">
        <v>104</v>
      </c>
    </row>
    <row r="231" ht="39.0" customHeight="1">
      <c r="A231" s="49">
        <v>209.0</v>
      </c>
      <c r="B231" s="50" t="str">
        <f t="shared" si="39"/>
        <v>Emergency Tire Repair Vancouver | Call Now</v>
      </c>
      <c r="C231" s="51" t="str">
        <f t="shared" si="40"/>
        <v>/emergency-tire-repair-vancouver</v>
      </c>
      <c r="D231" s="52" t="s">
        <v>144</v>
      </c>
      <c r="E231" s="53"/>
      <c r="F231" s="61" t="s">
        <v>82</v>
      </c>
      <c r="G231" s="54"/>
      <c r="H231" s="53"/>
      <c r="I231" s="55"/>
      <c r="J231" s="56"/>
      <c r="K231" s="57"/>
      <c r="L231" s="54"/>
      <c r="M231" s="58" t="s">
        <v>104</v>
      </c>
    </row>
    <row r="232" ht="39.0" customHeight="1">
      <c r="A232" s="17">
        <v>210.0</v>
      </c>
      <c r="B232" s="27" t="str">
        <f t="shared" si="39"/>
        <v>24 Hour Tire Repair Vancouver | Call Now</v>
      </c>
      <c r="C232" s="34" t="str">
        <f t="shared" si="40"/>
        <v>/24-hour-tire-repair-vancouver</v>
      </c>
      <c r="D232" s="37" t="s">
        <v>184</v>
      </c>
      <c r="E232" s="38"/>
      <c r="F232" s="61" t="s">
        <v>82</v>
      </c>
      <c r="G232" s="42"/>
      <c r="H232" s="38"/>
      <c r="I232" s="44"/>
      <c r="J232" s="45"/>
      <c r="K232" s="46"/>
      <c r="L232" s="42"/>
      <c r="M232" s="47" t="s">
        <v>104</v>
      </c>
    </row>
    <row r="233" ht="39.0" customHeight="1">
      <c r="A233" s="49">
        <v>211.0</v>
      </c>
      <c r="B233" s="50" t="str">
        <f t="shared" si="39"/>
        <v>Roadside Tire Repair Vancouver | Call Now</v>
      </c>
      <c r="C233" s="51" t="str">
        <f t="shared" si="40"/>
        <v>/roadside-tire-repair-vancouver</v>
      </c>
      <c r="D233" s="52" t="s">
        <v>159</v>
      </c>
      <c r="E233" s="53"/>
      <c r="F233" s="61" t="s">
        <v>82</v>
      </c>
      <c r="G233" s="54"/>
      <c r="H233" s="53"/>
      <c r="I233" s="55"/>
      <c r="J233" s="56"/>
      <c r="K233" s="57"/>
      <c r="L233" s="54"/>
      <c r="M233" s="58" t="s">
        <v>104</v>
      </c>
    </row>
    <row r="234" ht="39.0" customHeight="1">
      <c r="A234" s="17">
        <v>212.0</v>
      </c>
      <c r="B234" s="27" t="str">
        <f t="shared" si="39"/>
        <v>Mobile Tire Repair Vancouver | Call Now</v>
      </c>
      <c r="C234" s="34" t="str">
        <f t="shared" si="40"/>
        <v>/mobile-tire-repair-vancouver</v>
      </c>
      <c r="D234" s="37" t="s">
        <v>133</v>
      </c>
      <c r="E234" s="38"/>
      <c r="F234" s="61" t="s">
        <v>82</v>
      </c>
      <c r="G234" s="42"/>
      <c r="H234" s="38"/>
      <c r="I234" s="44"/>
      <c r="J234" s="45"/>
      <c r="K234" s="46"/>
      <c r="L234" s="42"/>
      <c r="M234" s="47" t="s">
        <v>104</v>
      </c>
    </row>
    <row r="235" ht="39.0" customHeight="1">
      <c r="A235" s="49">
        <v>213.0</v>
      </c>
      <c r="B235" s="50" t="str">
        <f t="shared" si="39"/>
        <v>Tire Repair Vancouver | Call Now</v>
      </c>
      <c r="C235" s="51" t="str">
        <f t="shared" si="40"/>
        <v>/tire-repair-vancouver</v>
      </c>
      <c r="D235" s="52" t="s">
        <v>114</v>
      </c>
      <c r="E235" s="53"/>
      <c r="F235" s="61" t="s">
        <v>82</v>
      </c>
      <c r="G235" s="54"/>
      <c r="H235" s="53"/>
      <c r="I235" s="55"/>
      <c r="J235" s="56"/>
      <c r="K235" s="57"/>
      <c r="L235" s="54"/>
      <c r="M235" s="58" t="s">
        <v>104</v>
      </c>
    </row>
    <row r="236" ht="39.0" customHeight="1">
      <c r="A236" s="17">
        <v>214.0</v>
      </c>
      <c r="B236" s="27" t="str">
        <f t="shared" si="39"/>
        <v>Flat Tire Repair Vancouver | Call Now</v>
      </c>
      <c r="C236" s="34" t="str">
        <f t="shared" si="40"/>
        <v>/flat-tire-repair-vancouver</v>
      </c>
      <c r="D236" s="37" t="s">
        <v>120</v>
      </c>
      <c r="E236" s="38"/>
      <c r="F236" s="61" t="s">
        <v>82</v>
      </c>
      <c r="G236" s="42"/>
      <c r="H236" s="38"/>
      <c r="I236" s="44"/>
      <c r="J236" s="45"/>
      <c r="K236" s="46"/>
      <c r="L236" s="42"/>
      <c r="M236" s="47" t="s">
        <v>104</v>
      </c>
    </row>
    <row r="237" ht="39.0" customHeight="1">
      <c r="A237" s="49">
        <v>215.0</v>
      </c>
      <c r="B237" s="50" t="str">
        <f t="shared" si="39"/>
        <v>Tire Puncture Repair Vancouver | Call Now</v>
      </c>
      <c r="C237" s="51" t="str">
        <f t="shared" si="40"/>
        <v>/tire-puncture-repair-vancouver</v>
      </c>
      <c r="D237" s="52" t="s">
        <v>149</v>
      </c>
      <c r="E237" s="53"/>
      <c r="F237" s="61" t="s">
        <v>82</v>
      </c>
      <c r="G237" s="54"/>
      <c r="H237" s="53"/>
      <c r="I237" s="55"/>
      <c r="J237" s="56"/>
      <c r="K237" s="57"/>
      <c r="L237" s="54"/>
      <c r="M237" s="58" t="s">
        <v>104</v>
      </c>
    </row>
    <row r="238" ht="39.0" customHeight="1">
      <c r="A238" s="17">
        <v>216.0</v>
      </c>
      <c r="B238" s="27" t="str">
        <f t="shared" si="39"/>
        <v>Tire Leak Repair Vancouver | Call Now</v>
      </c>
      <c r="C238" s="34" t="str">
        <f t="shared" si="40"/>
        <v>/tire-leak-repair-vancouver</v>
      </c>
      <c r="D238" s="37" t="s">
        <v>168</v>
      </c>
      <c r="E238" s="38"/>
      <c r="F238" s="61" t="s">
        <v>82</v>
      </c>
      <c r="G238" s="42"/>
      <c r="H238" s="38"/>
      <c r="I238" s="44"/>
      <c r="J238" s="45"/>
      <c r="K238" s="46"/>
      <c r="L238" s="42"/>
      <c r="M238" s="47" t="s">
        <v>104</v>
      </c>
    </row>
    <row r="239" ht="27.0" customHeight="1">
      <c r="A239" s="60" t="s">
        <v>325</v>
      </c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5"/>
    </row>
    <row r="240" ht="39.0" customHeight="1">
      <c r="A240" s="49">
        <v>217.0</v>
      </c>
      <c r="B240" s="50" t="str">
        <f t="shared" ref="B240:B251" si="41">PROPER(TRIM(SUBSTITUTE(D240," near me","")))&amp;" "&amp;F240&amp;" | Call Now"</f>
        <v>Truck Tire Repair Vaughan | Call Now</v>
      </c>
      <c r="C240" s="51" t="str">
        <f t="shared" ref="C240:C251" si="42">"/"&amp;SUBSTITUTE(LOWER(TRIM(TRIM(SUBSTITUTE(D240," near me",""))&amp;" "&amp;F240))," ","-")</f>
        <v>/truck-tire-repair-vaughan</v>
      </c>
      <c r="D240" s="52" t="s">
        <v>47</v>
      </c>
      <c r="E240" s="53"/>
      <c r="F240" s="61" t="s">
        <v>85</v>
      </c>
      <c r="G240" s="54"/>
      <c r="H240" s="53"/>
      <c r="I240" s="55"/>
      <c r="J240" s="56"/>
      <c r="K240" s="57"/>
      <c r="L240" s="54"/>
      <c r="M240" s="58" t="s">
        <v>104</v>
      </c>
    </row>
    <row r="241" ht="39.0" customHeight="1">
      <c r="A241" s="17">
        <v>218.0</v>
      </c>
      <c r="B241" s="27" t="str">
        <f t="shared" si="41"/>
        <v>Semi Truck Tire Repair Vaughan | Call Now</v>
      </c>
      <c r="C241" s="34" t="str">
        <f t="shared" si="42"/>
        <v>/semi-truck-tire-repair-vaughan</v>
      </c>
      <c r="D241" s="37" t="s">
        <v>89</v>
      </c>
      <c r="E241" s="38"/>
      <c r="F241" s="61" t="s">
        <v>85</v>
      </c>
      <c r="G241" s="42"/>
      <c r="H241" s="38"/>
      <c r="I241" s="44"/>
      <c r="J241" s="45"/>
      <c r="K241" s="46"/>
      <c r="L241" s="42"/>
      <c r="M241" s="47" t="s">
        <v>104</v>
      </c>
    </row>
    <row r="242" ht="39.0" customHeight="1">
      <c r="A242" s="49">
        <v>219.0</v>
      </c>
      <c r="B242" s="50" t="str">
        <f t="shared" si="41"/>
        <v>Mobile Truck Tire Repair Vaughan | Call Now</v>
      </c>
      <c r="C242" s="51" t="str">
        <f t="shared" si="42"/>
        <v>/mobile-truck-tire-repair-vaughan</v>
      </c>
      <c r="D242" s="52" t="s">
        <v>94</v>
      </c>
      <c r="E242" s="53"/>
      <c r="F242" s="61" t="s">
        <v>85</v>
      </c>
      <c r="G242" s="54"/>
      <c r="H242" s="53"/>
      <c r="I242" s="55"/>
      <c r="J242" s="56"/>
      <c r="K242" s="57"/>
      <c r="L242" s="54"/>
      <c r="M242" s="58" t="s">
        <v>104</v>
      </c>
    </row>
    <row r="243" ht="39.0" customHeight="1">
      <c r="A243" s="17">
        <v>220.0</v>
      </c>
      <c r="B243" s="27" t="str">
        <f t="shared" si="41"/>
        <v>Truck Roadside Assistance Vaughan | Call Now</v>
      </c>
      <c r="C243" s="34" t="str">
        <f t="shared" si="42"/>
        <v>/truck-roadside-assistance-vaughan</v>
      </c>
      <c r="D243" s="37" t="s">
        <v>77</v>
      </c>
      <c r="E243" s="38"/>
      <c r="F243" s="61" t="s">
        <v>85</v>
      </c>
      <c r="G243" s="42"/>
      <c r="H243" s="38"/>
      <c r="I243" s="44"/>
      <c r="J243" s="45"/>
      <c r="K243" s="46"/>
      <c r="L243" s="42"/>
      <c r="M243" s="47" t="s">
        <v>104</v>
      </c>
    </row>
    <row r="244" ht="39.0" customHeight="1">
      <c r="A244" s="49">
        <v>221.0</v>
      </c>
      <c r="B244" s="50" t="str">
        <f t="shared" si="41"/>
        <v>Emergency Tire Repair Vaughan | Call Now</v>
      </c>
      <c r="C244" s="51" t="str">
        <f t="shared" si="42"/>
        <v>/emergency-tire-repair-vaughan</v>
      </c>
      <c r="D244" s="52" t="s">
        <v>144</v>
      </c>
      <c r="E244" s="53"/>
      <c r="F244" s="61" t="s">
        <v>85</v>
      </c>
      <c r="G244" s="54"/>
      <c r="H244" s="53"/>
      <c r="I244" s="55"/>
      <c r="J244" s="56"/>
      <c r="K244" s="57"/>
      <c r="L244" s="54"/>
      <c r="M244" s="58" t="s">
        <v>104</v>
      </c>
    </row>
    <row r="245" ht="39.0" customHeight="1">
      <c r="A245" s="17">
        <v>222.0</v>
      </c>
      <c r="B245" s="27" t="str">
        <f t="shared" si="41"/>
        <v>24 Hour Tire Repair Vaughan | Call Now</v>
      </c>
      <c r="C245" s="34" t="str">
        <f t="shared" si="42"/>
        <v>/24-hour-tire-repair-vaughan</v>
      </c>
      <c r="D245" s="37" t="s">
        <v>184</v>
      </c>
      <c r="E245" s="38"/>
      <c r="F245" s="61" t="s">
        <v>85</v>
      </c>
      <c r="G245" s="42"/>
      <c r="H245" s="38"/>
      <c r="I245" s="44"/>
      <c r="J245" s="45"/>
      <c r="K245" s="46"/>
      <c r="L245" s="42"/>
      <c r="M245" s="47" t="s">
        <v>104</v>
      </c>
    </row>
    <row r="246" ht="39.0" customHeight="1">
      <c r="A246" s="49">
        <v>223.0</v>
      </c>
      <c r="B246" s="50" t="str">
        <f t="shared" si="41"/>
        <v>Roadside Tire Repair Vaughan | Call Now</v>
      </c>
      <c r="C246" s="51" t="str">
        <f t="shared" si="42"/>
        <v>/roadside-tire-repair-vaughan</v>
      </c>
      <c r="D246" s="52" t="s">
        <v>159</v>
      </c>
      <c r="E246" s="53"/>
      <c r="F246" s="61" t="s">
        <v>85</v>
      </c>
      <c r="G246" s="54"/>
      <c r="H246" s="53"/>
      <c r="I246" s="55"/>
      <c r="J246" s="56"/>
      <c r="K246" s="57"/>
      <c r="L246" s="54"/>
      <c r="M246" s="58" t="s">
        <v>104</v>
      </c>
    </row>
    <row r="247" ht="39.0" customHeight="1">
      <c r="A247" s="17">
        <v>224.0</v>
      </c>
      <c r="B247" s="27" t="str">
        <f t="shared" si="41"/>
        <v>Mobile Tire Repair Vaughan | Call Now</v>
      </c>
      <c r="C247" s="34" t="str">
        <f t="shared" si="42"/>
        <v>/mobile-tire-repair-vaughan</v>
      </c>
      <c r="D247" s="37" t="s">
        <v>133</v>
      </c>
      <c r="E247" s="38"/>
      <c r="F247" s="61" t="s">
        <v>85</v>
      </c>
      <c r="G247" s="42"/>
      <c r="H247" s="38"/>
      <c r="I247" s="44"/>
      <c r="J247" s="45"/>
      <c r="K247" s="46"/>
      <c r="L247" s="42"/>
      <c r="M247" s="47" t="s">
        <v>104</v>
      </c>
    </row>
    <row r="248" ht="39.0" customHeight="1">
      <c r="A248" s="49">
        <v>225.0</v>
      </c>
      <c r="B248" s="50" t="str">
        <f t="shared" si="41"/>
        <v>Tire Repair Vaughan | Call Now</v>
      </c>
      <c r="C248" s="51" t="str">
        <f t="shared" si="42"/>
        <v>/tire-repair-vaughan</v>
      </c>
      <c r="D248" s="52" t="s">
        <v>114</v>
      </c>
      <c r="E248" s="53"/>
      <c r="F248" s="61" t="s">
        <v>85</v>
      </c>
      <c r="G248" s="54"/>
      <c r="H248" s="53"/>
      <c r="I248" s="55"/>
      <c r="J248" s="56"/>
      <c r="K248" s="57"/>
      <c r="L248" s="54"/>
      <c r="M248" s="58" t="s">
        <v>104</v>
      </c>
    </row>
    <row r="249" ht="39.0" customHeight="1">
      <c r="A249" s="17">
        <v>226.0</v>
      </c>
      <c r="B249" s="27" t="str">
        <f t="shared" si="41"/>
        <v>Flat Tire Repair Vaughan | Call Now</v>
      </c>
      <c r="C249" s="34" t="str">
        <f t="shared" si="42"/>
        <v>/flat-tire-repair-vaughan</v>
      </c>
      <c r="D249" s="37" t="s">
        <v>120</v>
      </c>
      <c r="E249" s="38"/>
      <c r="F249" s="61" t="s">
        <v>85</v>
      </c>
      <c r="G249" s="42"/>
      <c r="H249" s="38"/>
      <c r="I249" s="44"/>
      <c r="J249" s="45"/>
      <c r="K249" s="46"/>
      <c r="L249" s="42"/>
      <c r="M249" s="47" t="s">
        <v>104</v>
      </c>
    </row>
    <row r="250" ht="39.0" customHeight="1">
      <c r="A250" s="49">
        <v>227.0</v>
      </c>
      <c r="B250" s="50" t="str">
        <f t="shared" si="41"/>
        <v>Tire Puncture Repair Vaughan | Call Now</v>
      </c>
      <c r="C250" s="51" t="str">
        <f t="shared" si="42"/>
        <v>/tire-puncture-repair-vaughan</v>
      </c>
      <c r="D250" s="52" t="s">
        <v>149</v>
      </c>
      <c r="E250" s="53"/>
      <c r="F250" s="61" t="s">
        <v>85</v>
      </c>
      <c r="G250" s="54"/>
      <c r="H250" s="53"/>
      <c r="I250" s="55"/>
      <c r="J250" s="56"/>
      <c r="K250" s="57"/>
      <c r="L250" s="54"/>
      <c r="M250" s="58" t="s">
        <v>104</v>
      </c>
    </row>
    <row r="251" ht="39.0" customHeight="1">
      <c r="A251" s="17">
        <v>228.0</v>
      </c>
      <c r="B251" s="27" t="str">
        <f t="shared" si="41"/>
        <v>Tire Leak Repair Vaughan | Call Now</v>
      </c>
      <c r="C251" s="34" t="str">
        <f t="shared" si="42"/>
        <v>/tire-leak-repair-vaughan</v>
      </c>
      <c r="D251" s="37" t="s">
        <v>168</v>
      </c>
      <c r="E251" s="38"/>
      <c r="F251" s="61" t="s">
        <v>85</v>
      </c>
      <c r="G251" s="42"/>
      <c r="H251" s="38"/>
      <c r="I251" s="44"/>
      <c r="J251" s="45"/>
      <c r="K251" s="46"/>
      <c r="L251" s="42"/>
      <c r="M251" s="47" t="s">
        <v>104</v>
      </c>
    </row>
    <row r="252" ht="27.0" customHeight="1">
      <c r="A252" s="60" t="s">
        <v>326</v>
      </c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5"/>
    </row>
    <row r="253" ht="39.0" customHeight="1">
      <c r="A253" s="49">
        <v>229.0</v>
      </c>
      <c r="B253" s="50" t="str">
        <f t="shared" ref="B253:B264" si="43">PROPER(TRIM(SUBSTITUTE(D253," near me","")))&amp;" "&amp;F253&amp;" | Call Now"</f>
        <v>Truck Tire Repair Etobicoke | Call Now</v>
      </c>
      <c r="C253" s="51" t="str">
        <f t="shared" ref="C253:C264" si="44">"/"&amp;SUBSTITUTE(LOWER(TRIM(TRIM(SUBSTITUTE(D253," near me",""))&amp;" "&amp;F253))," ","-")</f>
        <v>/truck-tire-repair-etobicoke</v>
      </c>
      <c r="D253" s="52" t="s">
        <v>47</v>
      </c>
      <c r="E253" s="53"/>
      <c r="F253" s="61" t="s">
        <v>87</v>
      </c>
      <c r="G253" s="54"/>
      <c r="H253" s="53"/>
      <c r="I253" s="55"/>
      <c r="J253" s="56"/>
      <c r="K253" s="57"/>
      <c r="L253" s="54"/>
      <c r="M253" s="58" t="s">
        <v>104</v>
      </c>
    </row>
    <row r="254" ht="39.0" customHeight="1">
      <c r="A254" s="17">
        <v>230.0</v>
      </c>
      <c r="B254" s="27" t="str">
        <f t="shared" si="43"/>
        <v>Semi Truck Tire Repair Etobicoke | Call Now</v>
      </c>
      <c r="C254" s="34" t="str">
        <f t="shared" si="44"/>
        <v>/semi-truck-tire-repair-etobicoke</v>
      </c>
      <c r="D254" s="37" t="s">
        <v>89</v>
      </c>
      <c r="E254" s="38"/>
      <c r="F254" s="61" t="s">
        <v>87</v>
      </c>
      <c r="G254" s="42"/>
      <c r="H254" s="38"/>
      <c r="I254" s="44"/>
      <c r="J254" s="45"/>
      <c r="K254" s="46"/>
      <c r="L254" s="42"/>
      <c r="M254" s="47" t="s">
        <v>104</v>
      </c>
    </row>
    <row r="255" ht="39.0" customHeight="1">
      <c r="A255" s="49">
        <v>231.0</v>
      </c>
      <c r="B255" s="50" t="str">
        <f t="shared" si="43"/>
        <v>Mobile Truck Tire Repair Etobicoke | Call Now</v>
      </c>
      <c r="C255" s="51" t="str">
        <f t="shared" si="44"/>
        <v>/mobile-truck-tire-repair-etobicoke</v>
      </c>
      <c r="D255" s="52" t="s">
        <v>94</v>
      </c>
      <c r="E255" s="53"/>
      <c r="F255" s="61" t="s">
        <v>87</v>
      </c>
      <c r="G255" s="54"/>
      <c r="H255" s="53"/>
      <c r="I255" s="55"/>
      <c r="J255" s="56"/>
      <c r="K255" s="57"/>
      <c r="L255" s="54"/>
      <c r="M255" s="58" t="s">
        <v>104</v>
      </c>
    </row>
    <row r="256" ht="39.0" customHeight="1">
      <c r="A256" s="17">
        <v>232.0</v>
      </c>
      <c r="B256" s="27" t="str">
        <f t="shared" si="43"/>
        <v>Truck Roadside Assistance Etobicoke | Call Now</v>
      </c>
      <c r="C256" s="34" t="str">
        <f t="shared" si="44"/>
        <v>/truck-roadside-assistance-etobicoke</v>
      </c>
      <c r="D256" s="37" t="s">
        <v>77</v>
      </c>
      <c r="E256" s="38"/>
      <c r="F256" s="61" t="s">
        <v>87</v>
      </c>
      <c r="G256" s="42"/>
      <c r="H256" s="38"/>
      <c r="I256" s="44"/>
      <c r="J256" s="45"/>
      <c r="K256" s="46"/>
      <c r="L256" s="42"/>
      <c r="M256" s="47" t="s">
        <v>104</v>
      </c>
    </row>
    <row r="257" ht="39.0" customHeight="1">
      <c r="A257" s="49">
        <v>233.0</v>
      </c>
      <c r="B257" s="50" t="str">
        <f t="shared" si="43"/>
        <v>Emergency Tire Repair Etobicoke | Call Now</v>
      </c>
      <c r="C257" s="51" t="str">
        <f t="shared" si="44"/>
        <v>/emergency-tire-repair-etobicoke</v>
      </c>
      <c r="D257" s="52" t="s">
        <v>144</v>
      </c>
      <c r="E257" s="53"/>
      <c r="F257" s="61" t="s">
        <v>87</v>
      </c>
      <c r="G257" s="54"/>
      <c r="H257" s="53"/>
      <c r="I257" s="55"/>
      <c r="J257" s="56"/>
      <c r="K257" s="57"/>
      <c r="L257" s="54"/>
      <c r="M257" s="58" t="s">
        <v>104</v>
      </c>
    </row>
    <row r="258" ht="39.0" customHeight="1">
      <c r="A258" s="17">
        <v>234.0</v>
      </c>
      <c r="B258" s="27" t="str">
        <f t="shared" si="43"/>
        <v>24 Hour Tire Repair Etobicoke | Call Now</v>
      </c>
      <c r="C258" s="34" t="str">
        <f t="shared" si="44"/>
        <v>/24-hour-tire-repair-etobicoke</v>
      </c>
      <c r="D258" s="37" t="s">
        <v>184</v>
      </c>
      <c r="E258" s="38"/>
      <c r="F258" s="61" t="s">
        <v>87</v>
      </c>
      <c r="G258" s="42"/>
      <c r="H258" s="38"/>
      <c r="I258" s="44"/>
      <c r="J258" s="45"/>
      <c r="K258" s="46"/>
      <c r="L258" s="42"/>
      <c r="M258" s="47" t="s">
        <v>104</v>
      </c>
    </row>
    <row r="259" ht="39.0" customHeight="1">
      <c r="A259" s="49">
        <v>235.0</v>
      </c>
      <c r="B259" s="50" t="str">
        <f t="shared" si="43"/>
        <v>Roadside Tire Repair Etobicoke | Call Now</v>
      </c>
      <c r="C259" s="51" t="str">
        <f t="shared" si="44"/>
        <v>/roadside-tire-repair-etobicoke</v>
      </c>
      <c r="D259" s="52" t="s">
        <v>159</v>
      </c>
      <c r="E259" s="53"/>
      <c r="F259" s="61" t="s">
        <v>87</v>
      </c>
      <c r="G259" s="54"/>
      <c r="H259" s="53"/>
      <c r="I259" s="55"/>
      <c r="J259" s="56"/>
      <c r="K259" s="57"/>
      <c r="L259" s="54"/>
      <c r="M259" s="58" t="s">
        <v>104</v>
      </c>
    </row>
    <row r="260" ht="39.0" customHeight="1">
      <c r="A260" s="17">
        <v>236.0</v>
      </c>
      <c r="B260" s="27" t="str">
        <f t="shared" si="43"/>
        <v>Mobile Tire Repair Etobicoke | Call Now</v>
      </c>
      <c r="C260" s="34" t="str">
        <f t="shared" si="44"/>
        <v>/mobile-tire-repair-etobicoke</v>
      </c>
      <c r="D260" s="37" t="s">
        <v>133</v>
      </c>
      <c r="E260" s="38"/>
      <c r="F260" s="61" t="s">
        <v>87</v>
      </c>
      <c r="G260" s="42"/>
      <c r="H260" s="38"/>
      <c r="I260" s="44"/>
      <c r="J260" s="45"/>
      <c r="K260" s="46"/>
      <c r="L260" s="42"/>
      <c r="M260" s="47" t="s">
        <v>104</v>
      </c>
    </row>
    <row r="261" ht="39.0" customHeight="1">
      <c r="A261" s="49">
        <v>237.0</v>
      </c>
      <c r="B261" s="50" t="str">
        <f t="shared" si="43"/>
        <v>Tire Repair Etobicoke | Call Now</v>
      </c>
      <c r="C261" s="51" t="str">
        <f t="shared" si="44"/>
        <v>/tire-repair-etobicoke</v>
      </c>
      <c r="D261" s="52" t="s">
        <v>114</v>
      </c>
      <c r="E261" s="53"/>
      <c r="F261" s="61" t="s">
        <v>87</v>
      </c>
      <c r="G261" s="54"/>
      <c r="H261" s="53"/>
      <c r="I261" s="55"/>
      <c r="J261" s="56"/>
      <c r="K261" s="57"/>
      <c r="L261" s="54"/>
      <c r="M261" s="58" t="s">
        <v>104</v>
      </c>
    </row>
    <row r="262" ht="39.0" customHeight="1">
      <c r="A262" s="17">
        <v>238.0</v>
      </c>
      <c r="B262" s="27" t="str">
        <f t="shared" si="43"/>
        <v>Flat Tire Repair Etobicoke | Call Now</v>
      </c>
      <c r="C262" s="34" t="str">
        <f t="shared" si="44"/>
        <v>/flat-tire-repair-etobicoke</v>
      </c>
      <c r="D262" s="37" t="s">
        <v>120</v>
      </c>
      <c r="E262" s="38"/>
      <c r="F262" s="61" t="s">
        <v>87</v>
      </c>
      <c r="G262" s="42"/>
      <c r="H262" s="38"/>
      <c r="I262" s="44"/>
      <c r="J262" s="45"/>
      <c r="K262" s="46"/>
      <c r="L262" s="42"/>
      <c r="M262" s="47" t="s">
        <v>104</v>
      </c>
    </row>
    <row r="263" ht="39.0" customHeight="1">
      <c r="A263" s="49">
        <v>239.0</v>
      </c>
      <c r="B263" s="50" t="str">
        <f t="shared" si="43"/>
        <v>Tire Puncture Repair Etobicoke | Call Now</v>
      </c>
      <c r="C263" s="51" t="str">
        <f t="shared" si="44"/>
        <v>/tire-puncture-repair-etobicoke</v>
      </c>
      <c r="D263" s="52" t="s">
        <v>149</v>
      </c>
      <c r="E263" s="53"/>
      <c r="F263" s="61" t="s">
        <v>87</v>
      </c>
      <c r="G263" s="54"/>
      <c r="H263" s="53"/>
      <c r="I263" s="55"/>
      <c r="J263" s="56"/>
      <c r="K263" s="57"/>
      <c r="L263" s="54"/>
      <c r="M263" s="58" t="s">
        <v>104</v>
      </c>
    </row>
    <row r="264" ht="39.0" customHeight="1">
      <c r="A264" s="17">
        <v>240.0</v>
      </c>
      <c r="B264" s="27" t="str">
        <f t="shared" si="43"/>
        <v>Tire Leak Repair Etobicoke | Call Now</v>
      </c>
      <c r="C264" s="34" t="str">
        <f t="shared" si="44"/>
        <v>/tire-leak-repair-etobicoke</v>
      </c>
      <c r="D264" s="37" t="s">
        <v>168</v>
      </c>
      <c r="E264" s="38"/>
      <c r="F264" s="61" t="s">
        <v>87</v>
      </c>
      <c r="G264" s="42"/>
      <c r="H264" s="38"/>
      <c r="I264" s="44"/>
      <c r="J264" s="45"/>
      <c r="K264" s="46"/>
      <c r="L264" s="42"/>
      <c r="M264" s="47" t="s">
        <v>104</v>
      </c>
    </row>
    <row r="265" ht="27.0" customHeight="1">
      <c r="A265" s="60" t="s">
        <v>327</v>
      </c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5"/>
    </row>
    <row r="266" ht="39.0" customHeight="1">
      <c r="A266" s="49">
        <v>241.0</v>
      </c>
      <c r="B266" s="50" t="str">
        <f t="shared" ref="B266:B277" si="45">PROPER(TRIM(SUBSTITUTE(D266," near me","")))&amp;" "&amp;F266&amp;" | Call Now"</f>
        <v>Truck Tire Repair Barrie | Call Now</v>
      </c>
      <c r="C266" s="51" t="str">
        <f t="shared" ref="C266:C277" si="46">"/"&amp;SUBSTITUTE(LOWER(TRIM(TRIM(SUBSTITUTE(D266," near me",""))&amp;" "&amp;F266))," ","-")</f>
        <v>/truck-tire-repair-barrie</v>
      </c>
      <c r="D266" s="52" t="s">
        <v>47</v>
      </c>
      <c r="E266" s="53"/>
      <c r="F266" s="61" t="s">
        <v>90</v>
      </c>
      <c r="G266" s="54"/>
      <c r="H266" s="53"/>
      <c r="I266" s="55"/>
      <c r="J266" s="56"/>
      <c r="K266" s="57"/>
      <c r="L266" s="54"/>
      <c r="M266" s="58" t="s">
        <v>104</v>
      </c>
    </row>
    <row r="267" ht="39.0" customHeight="1">
      <c r="A267" s="17">
        <v>242.0</v>
      </c>
      <c r="B267" s="27" t="str">
        <f t="shared" si="45"/>
        <v>Semi Truck Tire Repair Barrie | Call Now</v>
      </c>
      <c r="C267" s="34" t="str">
        <f t="shared" si="46"/>
        <v>/semi-truck-tire-repair-barrie</v>
      </c>
      <c r="D267" s="37" t="s">
        <v>89</v>
      </c>
      <c r="E267" s="38"/>
      <c r="F267" s="61" t="s">
        <v>90</v>
      </c>
      <c r="G267" s="42"/>
      <c r="H267" s="38"/>
      <c r="I267" s="44"/>
      <c r="J267" s="45"/>
      <c r="K267" s="46"/>
      <c r="L267" s="42"/>
      <c r="M267" s="47" t="s">
        <v>104</v>
      </c>
    </row>
    <row r="268" ht="39.0" customHeight="1">
      <c r="A268" s="49">
        <v>243.0</v>
      </c>
      <c r="B268" s="50" t="str">
        <f t="shared" si="45"/>
        <v>Mobile Truck Tire Repair Barrie | Call Now</v>
      </c>
      <c r="C268" s="51" t="str">
        <f t="shared" si="46"/>
        <v>/mobile-truck-tire-repair-barrie</v>
      </c>
      <c r="D268" s="52" t="s">
        <v>94</v>
      </c>
      <c r="E268" s="53"/>
      <c r="F268" s="61" t="s">
        <v>90</v>
      </c>
      <c r="G268" s="54"/>
      <c r="H268" s="53"/>
      <c r="I268" s="55"/>
      <c r="J268" s="56"/>
      <c r="K268" s="57"/>
      <c r="L268" s="54"/>
      <c r="M268" s="58" t="s">
        <v>104</v>
      </c>
    </row>
    <row r="269" ht="39.0" customHeight="1">
      <c r="A269" s="17">
        <v>244.0</v>
      </c>
      <c r="B269" s="27" t="str">
        <f t="shared" si="45"/>
        <v>Truck Roadside Assistance Barrie | Call Now</v>
      </c>
      <c r="C269" s="34" t="str">
        <f t="shared" si="46"/>
        <v>/truck-roadside-assistance-barrie</v>
      </c>
      <c r="D269" s="37" t="s">
        <v>77</v>
      </c>
      <c r="E269" s="38"/>
      <c r="F269" s="61" t="s">
        <v>90</v>
      </c>
      <c r="G269" s="42"/>
      <c r="H269" s="38"/>
      <c r="I269" s="44"/>
      <c r="J269" s="45"/>
      <c r="K269" s="46"/>
      <c r="L269" s="42"/>
      <c r="M269" s="47" t="s">
        <v>104</v>
      </c>
    </row>
    <row r="270" ht="39.0" customHeight="1">
      <c r="A270" s="49">
        <v>245.0</v>
      </c>
      <c r="B270" s="50" t="str">
        <f t="shared" si="45"/>
        <v>Emergency Tire Repair Barrie | Call Now</v>
      </c>
      <c r="C270" s="51" t="str">
        <f t="shared" si="46"/>
        <v>/emergency-tire-repair-barrie</v>
      </c>
      <c r="D270" s="52" t="s">
        <v>144</v>
      </c>
      <c r="E270" s="53"/>
      <c r="F270" s="61" t="s">
        <v>90</v>
      </c>
      <c r="G270" s="54"/>
      <c r="H270" s="53"/>
      <c r="I270" s="55"/>
      <c r="J270" s="56"/>
      <c r="K270" s="57"/>
      <c r="L270" s="54"/>
      <c r="M270" s="58" t="s">
        <v>104</v>
      </c>
    </row>
    <row r="271" ht="39.0" customHeight="1">
      <c r="A271" s="17">
        <v>246.0</v>
      </c>
      <c r="B271" s="27" t="str">
        <f t="shared" si="45"/>
        <v>24 Hour Tire Repair Barrie | Call Now</v>
      </c>
      <c r="C271" s="34" t="str">
        <f t="shared" si="46"/>
        <v>/24-hour-tire-repair-barrie</v>
      </c>
      <c r="D271" s="37" t="s">
        <v>184</v>
      </c>
      <c r="E271" s="38"/>
      <c r="F271" s="61" t="s">
        <v>90</v>
      </c>
      <c r="G271" s="42"/>
      <c r="H271" s="38"/>
      <c r="I271" s="44"/>
      <c r="J271" s="45"/>
      <c r="K271" s="46"/>
      <c r="L271" s="42"/>
      <c r="M271" s="47" t="s">
        <v>104</v>
      </c>
    </row>
    <row r="272" ht="39.0" customHeight="1">
      <c r="A272" s="49">
        <v>247.0</v>
      </c>
      <c r="B272" s="50" t="str">
        <f t="shared" si="45"/>
        <v>Roadside Tire Repair Barrie | Call Now</v>
      </c>
      <c r="C272" s="51" t="str">
        <f t="shared" si="46"/>
        <v>/roadside-tire-repair-barrie</v>
      </c>
      <c r="D272" s="52" t="s">
        <v>159</v>
      </c>
      <c r="E272" s="53"/>
      <c r="F272" s="61" t="s">
        <v>90</v>
      </c>
      <c r="G272" s="54"/>
      <c r="H272" s="53"/>
      <c r="I272" s="55"/>
      <c r="J272" s="56"/>
      <c r="K272" s="57"/>
      <c r="L272" s="54"/>
      <c r="M272" s="58" t="s">
        <v>104</v>
      </c>
    </row>
    <row r="273" ht="39.0" customHeight="1">
      <c r="A273" s="17">
        <v>248.0</v>
      </c>
      <c r="B273" s="27" t="str">
        <f t="shared" si="45"/>
        <v>Mobile Tire Repair Barrie | Call Now</v>
      </c>
      <c r="C273" s="34" t="str">
        <f t="shared" si="46"/>
        <v>/mobile-tire-repair-barrie</v>
      </c>
      <c r="D273" s="37" t="s">
        <v>133</v>
      </c>
      <c r="E273" s="38"/>
      <c r="F273" s="61" t="s">
        <v>90</v>
      </c>
      <c r="G273" s="42"/>
      <c r="H273" s="38"/>
      <c r="I273" s="44"/>
      <c r="J273" s="45"/>
      <c r="K273" s="46"/>
      <c r="L273" s="42"/>
      <c r="M273" s="47" t="s">
        <v>104</v>
      </c>
    </row>
    <row r="274" ht="39.0" customHeight="1">
      <c r="A274" s="49">
        <v>249.0</v>
      </c>
      <c r="B274" s="50" t="str">
        <f t="shared" si="45"/>
        <v>Tire Repair Barrie | Call Now</v>
      </c>
      <c r="C274" s="51" t="str">
        <f t="shared" si="46"/>
        <v>/tire-repair-barrie</v>
      </c>
      <c r="D274" s="52" t="s">
        <v>114</v>
      </c>
      <c r="E274" s="53"/>
      <c r="F274" s="61" t="s">
        <v>90</v>
      </c>
      <c r="G274" s="54"/>
      <c r="H274" s="53"/>
      <c r="I274" s="55"/>
      <c r="J274" s="56"/>
      <c r="K274" s="57"/>
      <c r="L274" s="54"/>
      <c r="M274" s="58" t="s">
        <v>104</v>
      </c>
    </row>
    <row r="275" ht="39.0" customHeight="1">
      <c r="A275" s="17">
        <v>250.0</v>
      </c>
      <c r="B275" s="27" t="str">
        <f t="shared" si="45"/>
        <v>Flat Tire Repair Barrie | Call Now</v>
      </c>
      <c r="C275" s="34" t="str">
        <f t="shared" si="46"/>
        <v>/flat-tire-repair-barrie</v>
      </c>
      <c r="D275" s="37" t="s">
        <v>120</v>
      </c>
      <c r="E275" s="38"/>
      <c r="F275" s="61" t="s">
        <v>90</v>
      </c>
      <c r="G275" s="42"/>
      <c r="H275" s="38"/>
      <c r="I275" s="44"/>
      <c r="J275" s="45"/>
      <c r="K275" s="46"/>
      <c r="L275" s="42"/>
      <c r="M275" s="47" t="s">
        <v>104</v>
      </c>
    </row>
    <row r="276" ht="39.0" customHeight="1">
      <c r="A276" s="49">
        <v>251.0</v>
      </c>
      <c r="B276" s="50" t="str">
        <f t="shared" si="45"/>
        <v>Tire Puncture Repair Barrie | Call Now</v>
      </c>
      <c r="C276" s="51" t="str">
        <f t="shared" si="46"/>
        <v>/tire-puncture-repair-barrie</v>
      </c>
      <c r="D276" s="52" t="s">
        <v>149</v>
      </c>
      <c r="E276" s="53"/>
      <c r="F276" s="61" t="s">
        <v>90</v>
      </c>
      <c r="G276" s="54"/>
      <c r="H276" s="53"/>
      <c r="I276" s="55"/>
      <c r="J276" s="56"/>
      <c r="K276" s="57"/>
      <c r="L276" s="54"/>
      <c r="M276" s="58" t="s">
        <v>104</v>
      </c>
    </row>
    <row r="277" ht="39.0" customHeight="1">
      <c r="A277" s="17">
        <v>252.0</v>
      </c>
      <c r="B277" s="27" t="str">
        <f t="shared" si="45"/>
        <v>Tire Leak Repair Barrie | Call Now</v>
      </c>
      <c r="C277" s="34" t="str">
        <f t="shared" si="46"/>
        <v>/tire-leak-repair-barrie</v>
      </c>
      <c r="D277" s="37" t="s">
        <v>168</v>
      </c>
      <c r="E277" s="38"/>
      <c r="F277" s="61" t="s">
        <v>90</v>
      </c>
      <c r="G277" s="42"/>
      <c r="H277" s="38"/>
      <c r="I277" s="44"/>
      <c r="J277" s="45"/>
      <c r="K277" s="46"/>
      <c r="L277" s="42"/>
      <c r="M277" s="47" t="s">
        <v>104</v>
      </c>
    </row>
    <row r="278" ht="27.0" customHeight="1">
      <c r="A278" s="60" t="s">
        <v>328</v>
      </c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5"/>
    </row>
    <row r="279" ht="39.0" customHeight="1">
      <c r="A279" s="49">
        <v>253.0</v>
      </c>
      <c r="B279" s="50" t="str">
        <f t="shared" ref="B279:B290" si="47">PROPER(TRIM(SUBSTITUTE(D279," near me","")))&amp;" "&amp;F279&amp;" | Call Now"</f>
        <v>Truck Tire Repair Woodbridge | Call Now</v>
      </c>
      <c r="C279" s="51" t="str">
        <f t="shared" ref="C279:C290" si="48">"/"&amp;SUBSTITUTE(LOWER(TRIM(TRIM(SUBSTITUTE(D279," near me",""))&amp;" "&amp;F279))," ","-")</f>
        <v>/truck-tire-repair-woodbridge</v>
      </c>
      <c r="D279" s="52" t="s">
        <v>47</v>
      </c>
      <c r="E279" s="53"/>
      <c r="F279" s="61" t="s">
        <v>92</v>
      </c>
      <c r="G279" s="54"/>
      <c r="H279" s="53"/>
      <c r="I279" s="55"/>
      <c r="J279" s="56"/>
      <c r="K279" s="57"/>
      <c r="L279" s="54"/>
      <c r="M279" s="58" t="s">
        <v>104</v>
      </c>
    </row>
    <row r="280" ht="39.0" customHeight="1">
      <c r="A280" s="17">
        <v>254.0</v>
      </c>
      <c r="B280" s="27" t="str">
        <f t="shared" si="47"/>
        <v>Semi Truck Tire Repair Woodbridge | Call Now</v>
      </c>
      <c r="C280" s="34" t="str">
        <f t="shared" si="48"/>
        <v>/semi-truck-tire-repair-woodbridge</v>
      </c>
      <c r="D280" s="37" t="s">
        <v>89</v>
      </c>
      <c r="E280" s="38"/>
      <c r="F280" s="61" t="s">
        <v>92</v>
      </c>
      <c r="G280" s="42"/>
      <c r="H280" s="38"/>
      <c r="I280" s="44"/>
      <c r="J280" s="45"/>
      <c r="K280" s="46"/>
      <c r="L280" s="42"/>
      <c r="M280" s="47" t="s">
        <v>104</v>
      </c>
    </row>
    <row r="281" ht="39.0" customHeight="1">
      <c r="A281" s="49">
        <v>255.0</v>
      </c>
      <c r="B281" s="50" t="str">
        <f t="shared" si="47"/>
        <v>Mobile Truck Tire Repair Woodbridge | Call Now</v>
      </c>
      <c r="C281" s="51" t="str">
        <f t="shared" si="48"/>
        <v>/mobile-truck-tire-repair-woodbridge</v>
      </c>
      <c r="D281" s="52" t="s">
        <v>94</v>
      </c>
      <c r="E281" s="53"/>
      <c r="F281" s="61" t="s">
        <v>92</v>
      </c>
      <c r="G281" s="54"/>
      <c r="H281" s="53"/>
      <c r="I281" s="55"/>
      <c r="J281" s="56"/>
      <c r="K281" s="57"/>
      <c r="L281" s="54"/>
      <c r="M281" s="58" t="s">
        <v>104</v>
      </c>
    </row>
    <row r="282" ht="39.0" customHeight="1">
      <c r="A282" s="17">
        <v>256.0</v>
      </c>
      <c r="B282" s="27" t="str">
        <f t="shared" si="47"/>
        <v>Truck Roadside Assistance Woodbridge | Call Now</v>
      </c>
      <c r="C282" s="34" t="str">
        <f t="shared" si="48"/>
        <v>/truck-roadside-assistance-woodbridge</v>
      </c>
      <c r="D282" s="37" t="s">
        <v>77</v>
      </c>
      <c r="E282" s="38"/>
      <c r="F282" s="61" t="s">
        <v>92</v>
      </c>
      <c r="G282" s="42"/>
      <c r="H282" s="38"/>
      <c r="I282" s="44"/>
      <c r="J282" s="45"/>
      <c r="K282" s="46"/>
      <c r="L282" s="42"/>
      <c r="M282" s="47" t="s">
        <v>104</v>
      </c>
    </row>
    <row r="283" ht="39.0" customHeight="1">
      <c r="A283" s="49">
        <v>257.0</v>
      </c>
      <c r="B283" s="50" t="str">
        <f t="shared" si="47"/>
        <v>Emergency Tire Repair Woodbridge | Call Now</v>
      </c>
      <c r="C283" s="51" t="str">
        <f t="shared" si="48"/>
        <v>/emergency-tire-repair-woodbridge</v>
      </c>
      <c r="D283" s="52" t="s">
        <v>144</v>
      </c>
      <c r="E283" s="53"/>
      <c r="F283" s="61" t="s">
        <v>92</v>
      </c>
      <c r="G283" s="54"/>
      <c r="H283" s="53"/>
      <c r="I283" s="55"/>
      <c r="J283" s="56"/>
      <c r="K283" s="57"/>
      <c r="L283" s="54"/>
      <c r="M283" s="58" t="s">
        <v>104</v>
      </c>
    </row>
    <row r="284" ht="39.0" customHeight="1">
      <c r="A284" s="17">
        <v>258.0</v>
      </c>
      <c r="B284" s="27" t="str">
        <f t="shared" si="47"/>
        <v>24 Hour Tire Repair Woodbridge | Call Now</v>
      </c>
      <c r="C284" s="34" t="str">
        <f t="shared" si="48"/>
        <v>/24-hour-tire-repair-woodbridge</v>
      </c>
      <c r="D284" s="37" t="s">
        <v>184</v>
      </c>
      <c r="E284" s="38"/>
      <c r="F284" s="61" t="s">
        <v>92</v>
      </c>
      <c r="G284" s="42"/>
      <c r="H284" s="38"/>
      <c r="I284" s="44"/>
      <c r="J284" s="45"/>
      <c r="K284" s="46"/>
      <c r="L284" s="42"/>
      <c r="M284" s="47" t="s">
        <v>104</v>
      </c>
    </row>
    <row r="285" ht="39.0" customHeight="1">
      <c r="A285" s="49">
        <v>259.0</v>
      </c>
      <c r="B285" s="50" t="str">
        <f t="shared" si="47"/>
        <v>Roadside Tire Repair Woodbridge | Call Now</v>
      </c>
      <c r="C285" s="51" t="str">
        <f t="shared" si="48"/>
        <v>/roadside-tire-repair-woodbridge</v>
      </c>
      <c r="D285" s="52" t="s">
        <v>159</v>
      </c>
      <c r="E285" s="53"/>
      <c r="F285" s="61" t="s">
        <v>92</v>
      </c>
      <c r="G285" s="54"/>
      <c r="H285" s="53"/>
      <c r="I285" s="55"/>
      <c r="J285" s="56"/>
      <c r="K285" s="57"/>
      <c r="L285" s="54"/>
      <c r="M285" s="58" t="s">
        <v>104</v>
      </c>
    </row>
    <row r="286" ht="39.0" customHeight="1">
      <c r="A286" s="17">
        <v>260.0</v>
      </c>
      <c r="B286" s="27" t="str">
        <f t="shared" si="47"/>
        <v>Mobile Tire Repair Woodbridge | Call Now</v>
      </c>
      <c r="C286" s="34" t="str">
        <f t="shared" si="48"/>
        <v>/mobile-tire-repair-woodbridge</v>
      </c>
      <c r="D286" s="37" t="s">
        <v>133</v>
      </c>
      <c r="E286" s="38"/>
      <c r="F286" s="61" t="s">
        <v>92</v>
      </c>
      <c r="G286" s="42"/>
      <c r="H286" s="38"/>
      <c r="I286" s="44"/>
      <c r="J286" s="45"/>
      <c r="K286" s="46"/>
      <c r="L286" s="42"/>
      <c r="M286" s="47" t="s">
        <v>104</v>
      </c>
    </row>
    <row r="287" ht="39.0" customHeight="1">
      <c r="A287" s="49">
        <v>261.0</v>
      </c>
      <c r="B287" s="50" t="str">
        <f t="shared" si="47"/>
        <v>Tire Repair Woodbridge | Call Now</v>
      </c>
      <c r="C287" s="51" t="str">
        <f t="shared" si="48"/>
        <v>/tire-repair-woodbridge</v>
      </c>
      <c r="D287" s="52" t="s">
        <v>114</v>
      </c>
      <c r="E287" s="53"/>
      <c r="F287" s="61" t="s">
        <v>92</v>
      </c>
      <c r="G287" s="54"/>
      <c r="H287" s="53"/>
      <c r="I287" s="55"/>
      <c r="J287" s="56"/>
      <c r="K287" s="57"/>
      <c r="L287" s="54"/>
      <c r="M287" s="58" t="s">
        <v>104</v>
      </c>
    </row>
    <row r="288" ht="39.0" customHeight="1">
      <c r="A288" s="17">
        <v>262.0</v>
      </c>
      <c r="B288" s="27" t="str">
        <f t="shared" si="47"/>
        <v>Flat Tire Repair Woodbridge | Call Now</v>
      </c>
      <c r="C288" s="34" t="str">
        <f t="shared" si="48"/>
        <v>/flat-tire-repair-woodbridge</v>
      </c>
      <c r="D288" s="37" t="s">
        <v>120</v>
      </c>
      <c r="E288" s="38"/>
      <c r="F288" s="61" t="s">
        <v>92</v>
      </c>
      <c r="G288" s="42"/>
      <c r="H288" s="38"/>
      <c r="I288" s="44"/>
      <c r="J288" s="45"/>
      <c r="K288" s="46"/>
      <c r="L288" s="42"/>
      <c r="M288" s="47" t="s">
        <v>104</v>
      </c>
    </row>
    <row r="289" ht="39.0" customHeight="1">
      <c r="A289" s="49">
        <v>263.0</v>
      </c>
      <c r="B289" s="50" t="str">
        <f t="shared" si="47"/>
        <v>Tire Puncture Repair Woodbridge | Call Now</v>
      </c>
      <c r="C289" s="51" t="str">
        <f t="shared" si="48"/>
        <v>/tire-puncture-repair-woodbridge</v>
      </c>
      <c r="D289" s="52" t="s">
        <v>149</v>
      </c>
      <c r="E289" s="53"/>
      <c r="F289" s="61" t="s">
        <v>92</v>
      </c>
      <c r="G289" s="54"/>
      <c r="H289" s="53"/>
      <c r="I289" s="55"/>
      <c r="J289" s="56"/>
      <c r="K289" s="57"/>
      <c r="L289" s="54"/>
      <c r="M289" s="58" t="s">
        <v>104</v>
      </c>
    </row>
    <row r="290" ht="39.0" customHeight="1">
      <c r="A290" s="17">
        <v>264.0</v>
      </c>
      <c r="B290" s="27" t="str">
        <f t="shared" si="47"/>
        <v>Tire Leak Repair Woodbridge | Call Now</v>
      </c>
      <c r="C290" s="34" t="str">
        <f t="shared" si="48"/>
        <v>/tire-leak-repair-woodbridge</v>
      </c>
      <c r="D290" s="37" t="s">
        <v>168</v>
      </c>
      <c r="E290" s="38"/>
      <c r="F290" s="61" t="s">
        <v>92</v>
      </c>
      <c r="G290" s="42"/>
      <c r="H290" s="38"/>
      <c r="I290" s="44"/>
      <c r="J290" s="45"/>
      <c r="K290" s="46"/>
      <c r="L290" s="42"/>
      <c r="M290" s="47" t="s">
        <v>104</v>
      </c>
    </row>
    <row r="291" ht="27.0" customHeight="1">
      <c r="A291" s="60" t="s">
        <v>329</v>
      </c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5"/>
    </row>
    <row r="292" ht="39.0" customHeight="1">
      <c r="A292" s="49">
        <v>265.0</v>
      </c>
      <c r="B292" s="50" t="str">
        <f t="shared" ref="B292:B303" si="49">PROPER(TRIM(SUBSTITUTE(D292," near me","")))&amp;" "&amp;F292&amp;" | Call Now"</f>
        <v>Truck Tire Repair Thornhill | Call Now</v>
      </c>
      <c r="C292" s="51" t="str">
        <f t="shared" ref="C292:C303" si="50">"/"&amp;SUBSTITUTE(LOWER(TRIM(TRIM(SUBSTITUTE(D292," near me",""))&amp;" "&amp;F292))," ","-")</f>
        <v>/truck-tire-repair-thornhill</v>
      </c>
      <c r="D292" s="52" t="s">
        <v>47</v>
      </c>
      <c r="E292" s="53"/>
      <c r="F292" s="61" t="s">
        <v>93</v>
      </c>
      <c r="G292" s="54"/>
      <c r="H292" s="53"/>
      <c r="I292" s="55"/>
      <c r="J292" s="56"/>
      <c r="K292" s="57"/>
      <c r="L292" s="54"/>
      <c r="M292" s="58" t="s">
        <v>104</v>
      </c>
    </row>
    <row r="293" ht="39.0" customHeight="1">
      <c r="A293" s="17">
        <v>266.0</v>
      </c>
      <c r="B293" s="27" t="str">
        <f t="shared" si="49"/>
        <v>Semi Truck Tire Repair Thornhill | Call Now</v>
      </c>
      <c r="C293" s="34" t="str">
        <f t="shared" si="50"/>
        <v>/semi-truck-tire-repair-thornhill</v>
      </c>
      <c r="D293" s="37" t="s">
        <v>89</v>
      </c>
      <c r="E293" s="38"/>
      <c r="F293" s="61" t="s">
        <v>93</v>
      </c>
      <c r="G293" s="42"/>
      <c r="H293" s="38"/>
      <c r="I293" s="44"/>
      <c r="J293" s="45"/>
      <c r="K293" s="46"/>
      <c r="L293" s="42"/>
      <c r="M293" s="47" t="s">
        <v>104</v>
      </c>
    </row>
    <row r="294" ht="39.0" customHeight="1">
      <c r="A294" s="49">
        <v>267.0</v>
      </c>
      <c r="B294" s="50" t="str">
        <f t="shared" si="49"/>
        <v>Mobile Truck Tire Repair Thornhill | Call Now</v>
      </c>
      <c r="C294" s="51" t="str">
        <f t="shared" si="50"/>
        <v>/mobile-truck-tire-repair-thornhill</v>
      </c>
      <c r="D294" s="52" t="s">
        <v>94</v>
      </c>
      <c r="E294" s="53"/>
      <c r="F294" s="61" t="s">
        <v>93</v>
      </c>
      <c r="G294" s="54"/>
      <c r="H294" s="53"/>
      <c r="I294" s="55"/>
      <c r="J294" s="56"/>
      <c r="K294" s="57"/>
      <c r="L294" s="54"/>
      <c r="M294" s="58" t="s">
        <v>104</v>
      </c>
    </row>
    <row r="295" ht="39.0" customHeight="1">
      <c r="A295" s="17">
        <v>268.0</v>
      </c>
      <c r="B295" s="27" t="str">
        <f t="shared" si="49"/>
        <v>Truck Roadside Assistance Thornhill | Call Now</v>
      </c>
      <c r="C295" s="34" t="str">
        <f t="shared" si="50"/>
        <v>/truck-roadside-assistance-thornhill</v>
      </c>
      <c r="D295" s="37" t="s">
        <v>77</v>
      </c>
      <c r="E295" s="38"/>
      <c r="F295" s="61" t="s">
        <v>93</v>
      </c>
      <c r="G295" s="42"/>
      <c r="H295" s="38"/>
      <c r="I295" s="44"/>
      <c r="J295" s="45"/>
      <c r="K295" s="46"/>
      <c r="L295" s="42"/>
      <c r="M295" s="47" t="s">
        <v>104</v>
      </c>
    </row>
    <row r="296" ht="39.0" customHeight="1">
      <c r="A296" s="49">
        <v>269.0</v>
      </c>
      <c r="B296" s="50" t="str">
        <f t="shared" si="49"/>
        <v>Emergency Tire Repair Thornhill | Call Now</v>
      </c>
      <c r="C296" s="51" t="str">
        <f t="shared" si="50"/>
        <v>/emergency-tire-repair-thornhill</v>
      </c>
      <c r="D296" s="52" t="s">
        <v>144</v>
      </c>
      <c r="E296" s="53"/>
      <c r="F296" s="61" t="s">
        <v>93</v>
      </c>
      <c r="G296" s="54"/>
      <c r="H296" s="53"/>
      <c r="I296" s="55"/>
      <c r="J296" s="56"/>
      <c r="K296" s="57"/>
      <c r="L296" s="54"/>
      <c r="M296" s="58" t="s">
        <v>104</v>
      </c>
    </row>
    <row r="297" ht="39.0" customHeight="1">
      <c r="A297" s="17">
        <v>270.0</v>
      </c>
      <c r="B297" s="27" t="str">
        <f t="shared" si="49"/>
        <v>24 Hour Tire Repair Thornhill | Call Now</v>
      </c>
      <c r="C297" s="34" t="str">
        <f t="shared" si="50"/>
        <v>/24-hour-tire-repair-thornhill</v>
      </c>
      <c r="D297" s="37" t="s">
        <v>184</v>
      </c>
      <c r="E297" s="38"/>
      <c r="F297" s="61" t="s">
        <v>93</v>
      </c>
      <c r="G297" s="42"/>
      <c r="H297" s="38"/>
      <c r="I297" s="44"/>
      <c r="J297" s="45"/>
      <c r="K297" s="46"/>
      <c r="L297" s="42"/>
      <c r="M297" s="47" t="s">
        <v>104</v>
      </c>
    </row>
    <row r="298" ht="39.0" customHeight="1">
      <c r="A298" s="49">
        <v>271.0</v>
      </c>
      <c r="B298" s="50" t="str">
        <f t="shared" si="49"/>
        <v>Roadside Tire Repair Thornhill | Call Now</v>
      </c>
      <c r="C298" s="51" t="str">
        <f t="shared" si="50"/>
        <v>/roadside-tire-repair-thornhill</v>
      </c>
      <c r="D298" s="52" t="s">
        <v>159</v>
      </c>
      <c r="E298" s="53"/>
      <c r="F298" s="61" t="s">
        <v>93</v>
      </c>
      <c r="G298" s="54"/>
      <c r="H298" s="53"/>
      <c r="I298" s="55"/>
      <c r="J298" s="56"/>
      <c r="K298" s="57"/>
      <c r="L298" s="54"/>
      <c r="M298" s="58" t="s">
        <v>104</v>
      </c>
    </row>
    <row r="299" ht="39.0" customHeight="1">
      <c r="A299" s="17">
        <v>272.0</v>
      </c>
      <c r="B299" s="27" t="str">
        <f t="shared" si="49"/>
        <v>Mobile Tire Repair Thornhill | Call Now</v>
      </c>
      <c r="C299" s="34" t="str">
        <f t="shared" si="50"/>
        <v>/mobile-tire-repair-thornhill</v>
      </c>
      <c r="D299" s="37" t="s">
        <v>133</v>
      </c>
      <c r="E299" s="38"/>
      <c r="F299" s="61" t="s">
        <v>93</v>
      </c>
      <c r="G299" s="42"/>
      <c r="H299" s="38"/>
      <c r="I299" s="44"/>
      <c r="J299" s="45"/>
      <c r="K299" s="46"/>
      <c r="L299" s="42"/>
      <c r="M299" s="47" t="s">
        <v>104</v>
      </c>
    </row>
    <row r="300" ht="39.0" customHeight="1">
      <c r="A300" s="49">
        <v>273.0</v>
      </c>
      <c r="B300" s="50" t="str">
        <f t="shared" si="49"/>
        <v>Tire Repair Thornhill | Call Now</v>
      </c>
      <c r="C300" s="51" t="str">
        <f t="shared" si="50"/>
        <v>/tire-repair-thornhill</v>
      </c>
      <c r="D300" s="52" t="s">
        <v>114</v>
      </c>
      <c r="E300" s="53"/>
      <c r="F300" s="61" t="s">
        <v>93</v>
      </c>
      <c r="G300" s="54"/>
      <c r="H300" s="53"/>
      <c r="I300" s="55"/>
      <c r="J300" s="56"/>
      <c r="K300" s="57"/>
      <c r="L300" s="54"/>
      <c r="M300" s="58" t="s">
        <v>104</v>
      </c>
    </row>
    <row r="301" ht="39.0" customHeight="1">
      <c r="A301" s="17">
        <v>274.0</v>
      </c>
      <c r="B301" s="27" t="str">
        <f t="shared" si="49"/>
        <v>Flat Tire Repair Thornhill | Call Now</v>
      </c>
      <c r="C301" s="34" t="str">
        <f t="shared" si="50"/>
        <v>/flat-tire-repair-thornhill</v>
      </c>
      <c r="D301" s="37" t="s">
        <v>120</v>
      </c>
      <c r="E301" s="38"/>
      <c r="F301" s="61" t="s">
        <v>93</v>
      </c>
      <c r="G301" s="42"/>
      <c r="H301" s="38"/>
      <c r="I301" s="44"/>
      <c r="J301" s="45"/>
      <c r="K301" s="46"/>
      <c r="L301" s="42"/>
      <c r="M301" s="47" t="s">
        <v>104</v>
      </c>
    </row>
    <row r="302" ht="39.0" customHeight="1">
      <c r="A302" s="49">
        <v>275.0</v>
      </c>
      <c r="B302" s="50" t="str">
        <f t="shared" si="49"/>
        <v>Tire Puncture Repair Thornhill | Call Now</v>
      </c>
      <c r="C302" s="51" t="str">
        <f t="shared" si="50"/>
        <v>/tire-puncture-repair-thornhill</v>
      </c>
      <c r="D302" s="52" t="s">
        <v>149</v>
      </c>
      <c r="E302" s="53"/>
      <c r="F302" s="61" t="s">
        <v>93</v>
      </c>
      <c r="G302" s="54"/>
      <c r="H302" s="53"/>
      <c r="I302" s="55"/>
      <c r="J302" s="56"/>
      <c r="K302" s="57"/>
      <c r="L302" s="54"/>
      <c r="M302" s="58" t="s">
        <v>104</v>
      </c>
    </row>
    <row r="303" ht="39.0" customHeight="1">
      <c r="A303" s="17">
        <v>276.0</v>
      </c>
      <c r="B303" s="27" t="str">
        <f t="shared" si="49"/>
        <v>Tire Leak Repair Thornhill | Call Now</v>
      </c>
      <c r="C303" s="34" t="str">
        <f t="shared" si="50"/>
        <v>/tire-leak-repair-thornhill</v>
      </c>
      <c r="D303" s="37" t="s">
        <v>168</v>
      </c>
      <c r="E303" s="38"/>
      <c r="F303" s="61" t="s">
        <v>93</v>
      </c>
      <c r="G303" s="42"/>
      <c r="H303" s="38"/>
      <c r="I303" s="44"/>
      <c r="J303" s="45"/>
      <c r="K303" s="46"/>
      <c r="L303" s="42"/>
      <c r="M303" s="47" t="s">
        <v>104</v>
      </c>
    </row>
    <row r="304" ht="27.0" customHeight="1">
      <c r="A304" s="60" t="s">
        <v>330</v>
      </c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5"/>
    </row>
    <row r="305" ht="39.0" customHeight="1">
      <c r="A305" s="49">
        <v>277.0</v>
      </c>
      <c r="B305" s="50" t="str">
        <f t="shared" ref="B305:B316" si="51">PROPER(TRIM(SUBSTITUTE(D305," near me","")))&amp;" "&amp;F305&amp;" | Call Now"</f>
        <v>Truck Tire Repair Abbotsford | Call Now</v>
      </c>
      <c r="C305" s="51" t="str">
        <f t="shared" ref="C305:C316" si="52">"/"&amp;SUBSTITUTE(LOWER(TRIM(TRIM(SUBSTITUTE(D305," near me",""))&amp;" "&amp;F305))," ","-")</f>
        <v>/truck-tire-repair-abbotsford</v>
      </c>
      <c r="D305" s="52" t="s">
        <v>47</v>
      </c>
      <c r="E305" s="53"/>
      <c r="F305" s="61" t="s">
        <v>96</v>
      </c>
      <c r="G305" s="54"/>
      <c r="H305" s="53"/>
      <c r="I305" s="55"/>
      <c r="J305" s="56"/>
      <c r="K305" s="57"/>
      <c r="L305" s="54"/>
      <c r="M305" s="58" t="s">
        <v>104</v>
      </c>
    </row>
    <row r="306" ht="39.0" customHeight="1">
      <c r="A306" s="17">
        <v>278.0</v>
      </c>
      <c r="B306" s="27" t="str">
        <f t="shared" si="51"/>
        <v>Semi Truck Tire Repair Abbotsford | Call Now</v>
      </c>
      <c r="C306" s="34" t="str">
        <f t="shared" si="52"/>
        <v>/semi-truck-tire-repair-abbotsford</v>
      </c>
      <c r="D306" s="37" t="s">
        <v>89</v>
      </c>
      <c r="E306" s="38"/>
      <c r="F306" s="61" t="s">
        <v>96</v>
      </c>
      <c r="G306" s="42"/>
      <c r="H306" s="38"/>
      <c r="I306" s="44"/>
      <c r="J306" s="45"/>
      <c r="K306" s="46"/>
      <c r="L306" s="42"/>
      <c r="M306" s="47" t="s">
        <v>104</v>
      </c>
    </row>
    <row r="307" ht="39.0" customHeight="1">
      <c r="A307" s="49">
        <v>279.0</v>
      </c>
      <c r="B307" s="50" t="str">
        <f t="shared" si="51"/>
        <v>Mobile Truck Tire Repair Abbotsford | Call Now</v>
      </c>
      <c r="C307" s="51" t="str">
        <f t="shared" si="52"/>
        <v>/mobile-truck-tire-repair-abbotsford</v>
      </c>
      <c r="D307" s="52" t="s">
        <v>94</v>
      </c>
      <c r="E307" s="53"/>
      <c r="F307" s="61" t="s">
        <v>96</v>
      </c>
      <c r="G307" s="54"/>
      <c r="H307" s="53"/>
      <c r="I307" s="55"/>
      <c r="J307" s="56"/>
      <c r="K307" s="57"/>
      <c r="L307" s="54"/>
      <c r="M307" s="58" t="s">
        <v>104</v>
      </c>
    </row>
    <row r="308" ht="39.0" customHeight="1">
      <c r="A308" s="17">
        <v>280.0</v>
      </c>
      <c r="B308" s="27" t="str">
        <f t="shared" si="51"/>
        <v>Truck Roadside Assistance Abbotsford | Call Now</v>
      </c>
      <c r="C308" s="34" t="str">
        <f t="shared" si="52"/>
        <v>/truck-roadside-assistance-abbotsford</v>
      </c>
      <c r="D308" s="37" t="s">
        <v>77</v>
      </c>
      <c r="E308" s="38"/>
      <c r="F308" s="61" t="s">
        <v>96</v>
      </c>
      <c r="G308" s="42"/>
      <c r="H308" s="38"/>
      <c r="I308" s="44"/>
      <c r="J308" s="45"/>
      <c r="K308" s="46"/>
      <c r="L308" s="42"/>
      <c r="M308" s="47" t="s">
        <v>104</v>
      </c>
    </row>
    <row r="309" ht="39.0" customHeight="1">
      <c r="A309" s="49">
        <v>281.0</v>
      </c>
      <c r="B309" s="50" t="str">
        <f t="shared" si="51"/>
        <v>Emergency Tire Repair Abbotsford | Call Now</v>
      </c>
      <c r="C309" s="51" t="str">
        <f t="shared" si="52"/>
        <v>/emergency-tire-repair-abbotsford</v>
      </c>
      <c r="D309" s="52" t="s">
        <v>144</v>
      </c>
      <c r="E309" s="53"/>
      <c r="F309" s="61" t="s">
        <v>96</v>
      </c>
      <c r="G309" s="54"/>
      <c r="H309" s="53"/>
      <c r="I309" s="55"/>
      <c r="J309" s="56"/>
      <c r="K309" s="57"/>
      <c r="L309" s="54"/>
      <c r="M309" s="58" t="s">
        <v>104</v>
      </c>
    </row>
    <row r="310" ht="39.0" customHeight="1">
      <c r="A310" s="17">
        <v>282.0</v>
      </c>
      <c r="B310" s="27" t="str">
        <f t="shared" si="51"/>
        <v>24 Hour Tire Repair Abbotsford | Call Now</v>
      </c>
      <c r="C310" s="34" t="str">
        <f t="shared" si="52"/>
        <v>/24-hour-tire-repair-abbotsford</v>
      </c>
      <c r="D310" s="37" t="s">
        <v>184</v>
      </c>
      <c r="E310" s="38"/>
      <c r="F310" s="61" t="s">
        <v>96</v>
      </c>
      <c r="G310" s="42"/>
      <c r="H310" s="38"/>
      <c r="I310" s="44"/>
      <c r="J310" s="45"/>
      <c r="K310" s="46"/>
      <c r="L310" s="42"/>
      <c r="M310" s="47" t="s">
        <v>104</v>
      </c>
    </row>
    <row r="311" ht="39.0" customHeight="1">
      <c r="A311" s="49">
        <v>283.0</v>
      </c>
      <c r="B311" s="50" t="str">
        <f t="shared" si="51"/>
        <v>Roadside Tire Repair Abbotsford | Call Now</v>
      </c>
      <c r="C311" s="51" t="str">
        <f t="shared" si="52"/>
        <v>/roadside-tire-repair-abbotsford</v>
      </c>
      <c r="D311" s="52" t="s">
        <v>159</v>
      </c>
      <c r="E311" s="53"/>
      <c r="F311" s="61" t="s">
        <v>96</v>
      </c>
      <c r="G311" s="54"/>
      <c r="H311" s="53"/>
      <c r="I311" s="55"/>
      <c r="J311" s="56"/>
      <c r="K311" s="57"/>
      <c r="L311" s="54"/>
      <c r="M311" s="58" t="s">
        <v>104</v>
      </c>
    </row>
    <row r="312" ht="39.0" customHeight="1">
      <c r="A312" s="17">
        <v>284.0</v>
      </c>
      <c r="B312" s="27" t="str">
        <f t="shared" si="51"/>
        <v>Mobile Tire Repair Abbotsford | Call Now</v>
      </c>
      <c r="C312" s="34" t="str">
        <f t="shared" si="52"/>
        <v>/mobile-tire-repair-abbotsford</v>
      </c>
      <c r="D312" s="37" t="s">
        <v>133</v>
      </c>
      <c r="E312" s="38"/>
      <c r="F312" s="61" t="s">
        <v>96</v>
      </c>
      <c r="G312" s="42"/>
      <c r="H312" s="38"/>
      <c r="I312" s="44"/>
      <c r="J312" s="45"/>
      <c r="K312" s="46"/>
      <c r="L312" s="42"/>
      <c r="M312" s="47" t="s">
        <v>104</v>
      </c>
    </row>
    <row r="313" ht="39.0" customHeight="1">
      <c r="A313" s="49">
        <v>285.0</v>
      </c>
      <c r="B313" s="50" t="str">
        <f t="shared" si="51"/>
        <v>Tire Repair Abbotsford | Call Now</v>
      </c>
      <c r="C313" s="51" t="str">
        <f t="shared" si="52"/>
        <v>/tire-repair-abbotsford</v>
      </c>
      <c r="D313" s="52" t="s">
        <v>114</v>
      </c>
      <c r="E313" s="53"/>
      <c r="F313" s="61" t="s">
        <v>96</v>
      </c>
      <c r="G313" s="54"/>
      <c r="H313" s="53"/>
      <c r="I313" s="55"/>
      <c r="J313" s="56"/>
      <c r="K313" s="57"/>
      <c r="L313" s="54"/>
      <c r="M313" s="58" t="s">
        <v>104</v>
      </c>
    </row>
    <row r="314" ht="39.0" customHeight="1">
      <c r="A314" s="17">
        <v>286.0</v>
      </c>
      <c r="B314" s="27" t="str">
        <f t="shared" si="51"/>
        <v>Flat Tire Repair Abbotsford | Call Now</v>
      </c>
      <c r="C314" s="34" t="str">
        <f t="shared" si="52"/>
        <v>/flat-tire-repair-abbotsford</v>
      </c>
      <c r="D314" s="37" t="s">
        <v>120</v>
      </c>
      <c r="E314" s="38"/>
      <c r="F314" s="61" t="s">
        <v>96</v>
      </c>
      <c r="G314" s="42"/>
      <c r="H314" s="38"/>
      <c r="I314" s="44"/>
      <c r="J314" s="45"/>
      <c r="K314" s="46"/>
      <c r="L314" s="42"/>
      <c r="M314" s="47" t="s">
        <v>104</v>
      </c>
    </row>
    <row r="315" ht="39.0" customHeight="1">
      <c r="A315" s="49">
        <v>287.0</v>
      </c>
      <c r="B315" s="50" t="str">
        <f t="shared" si="51"/>
        <v>Tire Puncture Repair Abbotsford | Call Now</v>
      </c>
      <c r="C315" s="51" t="str">
        <f t="shared" si="52"/>
        <v>/tire-puncture-repair-abbotsford</v>
      </c>
      <c r="D315" s="52" t="s">
        <v>149</v>
      </c>
      <c r="E315" s="53"/>
      <c r="F315" s="61" t="s">
        <v>96</v>
      </c>
      <c r="G315" s="54"/>
      <c r="H315" s="53"/>
      <c r="I315" s="55"/>
      <c r="J315" s="56"/>
      <c r="K315" s="57"/>
      <c r="L315" s="54"/>
      <c r="M315" s="58" t="s">
        <v>104</v>
      </c>
    </row>
    <row r="316" ht="39.0" customHeight="1">
      <c r="A316" s="17">
        <v>288.0</v>
      </c>
      <c r="B316" s="27" t="str">
        <f t="shared" si="51"/>
        <v>Tire Leak Repair Abbotsford | Call Now</v>
      </c>
      <c r="C316" s="34" t="str">
        <f t="shared" si="52"/>
        <v>/tire-leak-repair-abbotsford</v>
      </c>
      <c r="D316" s="37" t="s">
        <v>168</v>
      </c>
      <c r="E316" s="38"/>
      <c r="F316" s="61" t="s">
        <v>96</v>
      </c>
      <c r="G316" s="42"/>
      <c r="H316" s="38"/>
      <c r="I316" s="44"/>
      <c r="J316" s="45"/>
      <c r="K316" s="46"/>
      <c r="L316" s="42"/>
      <c r="M316" s="47" t="s">
        <v>104</v>
      </c>
    </row>
    <row r="317" ht="27.0" customHeight="1">
      <c r="A317" s="13" t="s">
        <v>331</v>
      </c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5"/>
    </row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8">
    <mergeCell ref="A1:M1"/>
    <mergeCell ref="A3:M3"/>
    <mergeCell ref="A8:M8"/>
    <mergeCell ref="A13:M13"/>
    <mergeCell ref="A18:M18"/>
    <mergeCell ref="A31:M31"/>
    <mergeCell ref="A44:M44"/>
    <mergeCell ref="A57:M57"/>
    <mergeCell ref="A70:M70"/>
    <mergeCell ref="A83:M83"/>
    <mergeCell ref="A96:M96"/>
    <mergeCell ref="A109:M109"/>
    <mergeCell ref="A122:M122"/>
    <mergeCell ref="A135:M135"/>
    <mergeCell ref="A239:M239"/>
    <mergeCell ref="A252:M252"/>
    <mergeCell ref="A265:M265"/>
    <mergeCell ref="A278:M278"/>
    <mergeCell ref="A291:M291"/>
    <mergeCell ref="A304:M304"/>
    <mergeCell ref="A317:M317"/>
    <mergeCell ref="A148:M148"/>
    <mergeCell ref="A161:M161"/>
    <mergeCell ref="A174:M174"/>
    <mergeCell ref="A187:M187"/>
    <mergeCell ref="A200:M200"/>
    <mergeCell ref="A213:M213"/>
    <mergeCell ref="A226:M226"/>
  </mergeCells>
  <printOptions/>
  <pageMargins bottom="1.0" footer="0.0" header="0.0" left="0.75" right="0.75" top="1.0"/>
  <pageSetup fitToHeight="0"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6.0"/>
    <col customWidth="1" min="2" max="2" width="47.0"/>
    <col customWidth="1" min="3" max="3" width="10.0"/>
    <col customWidth="1" min="4" max="4" width="11.0"/>
    <col customWidth="1" min="5" max="5" width="12.0"/>
    <col customWidth="1" min="6" max="6" width="13.0"/>
    <col customWidth="1" min="7" max="7" width="12.0"/>
    <col customWidth="1" min="8" max="8" width="43.0"/>
    <col customWidth="1" min="9" max="9" width="25.0"/>
    <col customWidth="1" min="10" max="10" width="43.0"/>
    <col customWidth="1" min="11" max="11" width="15.0"/>
    <col customWidth="1" min="12" max="12" width="19.0"/>
    <col customWidth="1" min="13" max="13" width="23.0"/>
    <col customWidth="1" min="14" max="14" width="16.0"/>
    <col customWidth="1" min="15" max="15" width="61.0"/>
    <col customWidth="1" min="16" max="16" width="12.0"/>
    <col customWidth="1" min="17" max="18" width="56.0"/>
    <col customWidth="1" min="19" max="19" width="29.0"/>
    <col customWidth="1" min="20" max="20" width="66.0"/>
    <col customWidth="1" min="21" max="26" width="8.71"/>
  </cols>
  <sheetData>
    <row r="1" ht="39.0" customHeight="1">
      <c r="A1" s="3" t="s">
        <v>1</v>
      </c>
      <c r="B1" s="3" t="s">
        <v>3</v>
      </c>
      <c r="C1" s="3" t="s">
        <v>4</v>
      </c>
      <c r="D1" s="3" t="s">
        <v>6</v>
      </c>
      <c r="E1" s="3" t="s">
        <v>8</v>
      </c>
      <c r="F1" s="3" t="s">
        <v>9</v>
      </c>
      <c r="G1" s="3" t="s">
        <v>11</v>
      </c>
      <c r="H1" s="3" t="s">
        <v>13</v>
      </c>
      <c r="I1" s="3" t="s">
        <v>15</v>
      </c>
      <c r="J1" s="3" t="s">
        <v>18</v>
      </c>
      <c r="K1" s="3" t="s">
        <v>21</v>
      </c>
      <c r="L1" s="3" t="s">
        <v>26</v>
      </c>
      <c r="M1" s="3" t="s">
        <v>28</v>
      </c>
      <c r="N1" s="3" t="s">
        <v>29</v>
      </c>
      <c r="O1" s="3" t="s">
        <v>31</v>
      </c>
      <c r="P1" s="3" t="s">
        <v>34</v>
      </c>
      <c r="Q1" s="3" t="s">
        <v>37</v>
      </c>
      <c r="R1" s="3" t="s">
        <v>38</v>
      </c>
      <c r="S1" s="3" t="s">
        <v>39</v>
      </c>
      <c r="T1" s="3" t="s">
        <v>0</v>
      </c>
    </row>
    <row r="2" ht="24.0" customHeight="1">
      <c r="A2" s="10">
        <v>1.0</v>
      </c>
      <c r="B2" s="14" t="s">
        <v>47</v>
      </c>
      <c r="C2" s="16" t="s">
        <v>50</v>
      </c>
      <c r="D2" s="21">
        <v>0.0</v>
      </c>
      <c r="E2" s="21">
        <v>200.0</v>
      </c>
      <c r="F2" s="24">
        <v>0.9</v>
      </c>
      <c r="G2" s="25">
        <v>0.24</v>
      </c>
      <c r="H2" s="16" t="s">
        <v>58</v>
      </c>
      <c r="I2" s="16" t="s">
        <v>60</v>
      </c>
      <c r="J2" s="16" t="s">
        <v>61</v>
      </c>
      <c r="K2" s="10">
        <v>2000.0</v>
      </c>
      <c r="L2" s="10">
        <v>200.0</v>
      </c>
      <c r="M2" s="10">
        <v>200.0</v>
      </c>
      <c r="N2" s="16" t="s">
        <v>65</v>
      </c>
      <c r="O2" s="16" t="s">
        <v>66</v>
      </c>
      <c r="P2" s="16" t="s">
        <v>68</v>
      </c>
      <c r="Q2" s="16" t="s">
        <v>70</v>
      </c>
      <c r="R2" s="16" t="s">
        <v>71</v>
      </c>
      <c r="S2" s="16" t="s">
        <v>72</v>
      </c>
      <c r="T2" s="16" t="s">
        <v>32</v>
      </c>
    </row>
    <row r="3" ht="24.0" customHeight="1">
      <c r="A3" s="29">
        <v>2.0</v>
      </c>
      <c r="B3" s="32" t="s">
        <v>77</v>
      </c>
      <c r="C3" s="36" t="s">
        <v>50</v>
      </c>
      <c r="D3" s="39">
        <v>0.0</v>
      </c>
      <c r="E3" s="39">
        <v>100.0</v>
      </c>
      <c r="F3" s="41">
        <v>1.3</v>
      </c>
      <c r="G3" s="43"/>
      <c r="H3" s="36" t="s">
        <v>95</v>
      </c>
      <c r="I3" s="36" t="s">
        <v>98</v>
      </c>
      <c r="J3" s="36" t="s">
        <v>99</v>
      </c>
      <c r="K3" s="29">
        <v>1400.0</v>
      </c>
      <c r="L3" s="29">
        <v>20.0</v>
      </c>
      <c r="M3" s="29">
        <v>20.0</v>
      </c>
      <c r="N3" s="36" t="s">
        <v>100</v>
      </c>
      <c r="O3" s="36" t="s">
        <v>66</v>
      </c>
      <c r="P3" s="36" t="s">
        <v>68</v>
      </c>
      <c r="Q3" s="36" t="s">
        <v>101</v>
      </c>
      <c r="R3" s="36" t="s">
        <v>102</v>
      </c>
      <c r="S3" s="36" t="s">
        <v>103</v>
      </c>
      <c r="T3" s="36" t="s">
        <v>32</v>
      </c>
    </row>
    <row r="4" ht="24.0" customHeight="1">
      <c r="A4" s="10">
        <v>3.0</v>
      </c>
      <c r="B4" s="14" t="s">
        <v>89</v>
      </c>
      <c r="C4" s="16" t="s">
        <v>50</v>
      </c>
      <c r="D4" s="21">
        <v>0.0</v>
      </c>
      <c r="E4" s="21">
        <v>80.0</v>
      </c>
      <c r="F4" s="24">
        <v>1.0</v>
      </c>
      <c r="G4" s="25"/>
      <c r="H4" s="16" t="s">
        <v>106</v>
      </c>
      <c r="I4" s="16" t="s">
        <v>107</v>
      </c>
      <c r="J4" s="16" t="s">
        <v>108</v>
      </c>
      <c r="K4" s="10">
        <v>2800.0</v>
      </c>
      <c r="L4" s="10">
        <v>10.0</v>
      </c>
      <c r="M4" s="10">
        <v>10.0</v>
      </c>
      <c r="N4" s="16" t="s">
        <v>109</v>
      </c>
      <c r="O4" s="16" t="s">
        <v>66</v>
      </c>
      <c r="P4" s="16" t="s">
        <v>68</v>
      </c>
      <c r="Q4" s="16" t="s">
        <v>111</v>
      </c>
      <c r="R4" s="16" t="s">
        <v>113</v>
      </c>
      <c r="S4" s="16" t="s">
        <v>72</v>
      </c>
      <c r="T4" s="16" t="s">
        <v>32</v>
      </c>
    </row>
    <row r="5" ht="24.0" customHeight="1">
      <c r="A5" s="29">
        <v>4.0</v>
      </c>
      <c r="B5" s="32" t="s">
        <v>94</v>
      </c>
      <c r="C5" s="36" t="s">
        <v>50</v>
      </c>
      <c r="D5" s="39">
        <v>0.0</v>
      </c>
      <c r="E5" s="39">
        <v>80.0</v>
      </c>
      <c r="F5" s="41">
        <v>0.8</v>
      </c>
      <c r="G5" s="43"/>
      <c r="H5" s="36" t="s">
        <v>117</v>
      </c>
      <c r="I5" s="36" t="s">
        <v>119</v>
      </c>
      <c r="J5" s="36" t="s">
        <v>99</v>
      </c>
      <c r="K5" s="29">
        <v>450.0</v>
      </c>
      <c r="L5" s="29">
        <v>10.0</v>
      </c>
      <c r="M5" s="29">
        <v>10.0</v>
      </c>
      <c r="N5" s="36" t="s">
        <v>121</v>
      </c>
      <c r="O5" s="36" t="s">
        <v>66</v>
      </c>
      <c r="P5" s="36" t="s">
        <v>68</v>
      </c>
      <c r="Q5" s="36" t="s">
        <v>122</v>
      </c>
      <c r="R5" s="36" t="s">
        <v>123</v>
      </c>
      <c r="S5" s="36" t="s">
        <v>72</v>
      </c>
      <c r="T5" s="36" t="s">
        <v>32</v>
      </c>
    </row>
    <row r="6" ht="24.0" customHeight="1">
      <c r="A6" s="10">
        <v>5.0</v>
      </c>
      <c r="B6" s="14" t="s">
        <v>84</v>
      </c>
      <c r="C6" s="16" t="s">
        <v>50</v>
      </c>
      <c r="D6" s="21">
        <v>12.0</v>
      </c>
      <c r="E6" s="21">
        <v>50.0</v>
      </c>
      <c r="F6" s="24">
        <v>1.0</v>
      </c>
      <c r="G6" s="25"/>
      <c r="H6" s="16" t="s">
        <v>126</v>
      </c>
      <c r="I6" s="16" t="s">
        <v>127</v>
      </c>
      <c r="J6" s="16" t="s">
        <v>128</v>
      </c>
      <c r="K6" s="10">
        <v>4900.0</v>
      </c>
      <c r="L6" s="10">
        <v>2400.0</v>
      </c>
      <c r="M6" s="10">
        <v>2400.0</v>
      </c>
      <c r="N6" s="16" t="s">
        <v>129</v>
      </c>
      <c r="O6" s="16" t="s">
        <v>66</v>
      </c>
      <c r="P6" s="16" t="s">
        <v>68</v>
      </c>
      <c r="Q6" s="16" t="s">
        <v>131</v>
      </c>
      <c r="R6" s="16" t="s">
        <v>132</v>
      </c>
      <c r="S6" s="16" t="s">
        <v>72</v>
      </c>
      <c r="T6" s="16" t="s">
        <v>32</v>
      </c>
    </row>
    <row r="7" ht="24.0" customHeight="1">
      <c r="A7" s="29">
        <v>1.0</v>
      </c>
      <c r="B7" s="32" t="s">
        <v>114</v>
      </c>
      <c r="C7" s="36" t="s">
        <v>50</v>
      </c>
      <c r="D7" s="39">
        <v>0.0</v>
      </c>
      <c r="E7" s="39">
        <v>2100.0</v>
      </c>
      <c r="F7" s="41">
        <v>0.7</v>
      </c>
      <c r="G7" s="43">
        <v>0.41</v>
      </c>
      <c r="H7" s="36" t="s">
        <v>135</v>
      </c>
      <c r="I7" s="36" t="s">
        <v>137</v>
      </c>
      <c r="J7" s="36" t="s">
        <v>138</v>
      </c>
      <c r="K7" s="29">
        <v>48000.0</v>
      </c>
      <c r="L7" s="29">
        <v>1300.0</v>
      </c>
      <c r="M7" s="29">
        <v>1300.0</v>
      </c>
      <c r="N7" s="36" t="s">
        <v>139</v>
      </c>
      <c r="O7" s="36" t="s">
        <v>66</v>
      </c>
      <c r="P7" s="36" t="s">
        <v>68</v>
      </c>
      <c r="Q7" s="36" t="s">
        <v>141</v>
      </c>
      <c r="R7" s="36" t="s">
        <v>142</v>
      </c>
      <c r="S7" s="36" t="s">
        <v>143</v>
      </c>
      <c r="T7" s="36" t="s">
        <v>112</v>
      </c>
    </row>
    <row r="8" ht="24.0" customHeight="1">
      <c r="A8" s="10">
        <v>2.0</v>
      </c>
      <c r="B8" s="14" t="s">
        <v>120</v>
      </c>
      <c r="C8" s="16" t="s">
        <v>50</v>
      </c>
      <c r="D8" s="21">
        <v>2.0</v>
      </c>
      <c r="E8" s="21">
        <v>700.0</v>
      </c>
      <c r="F8" s="24">
        <v>0.9</v>
      </c>
      <c r="G8" s="25">
        <v>0.57</v>
      </c>
      <c r="H8" s="16" t="s">
        <v>146</v>
      </c>
      <c r="I8" s="16" t="s">
        <v>147</v>
      </c>
      <c r="J8" s="16" t="s">
        <v>99</v>
      </c>
      <c r="K8" s="10">
        <v>14000.0</v>
      </c>
      <c r="L8" s="10">
        <v>50.0</v>
      </c>
      <c r="M8" s="10">
        <v>50.0</v>
      </c>
      <c r="N8" s="16" t="s">
        <v>148</v>
      </c>
      <c r="O8" s="16" t="s">
        <v>66</v>
      </c>
      <c r="P8" s="16" t="s">
        <v>68</v>
      </c>
      <c r="Q8" s="16" t="s">
        <v>150</v>
      </c>
      <c r="R8" s="16" t="s">
        <v>151</v>
      </c>
      <c r="S8" s="16" t="s">
        <v>72</v>
      </c>
      <c r="T8" s="16" t="s">
        <v>112</v>
      </c>
    </row>
    <row r="9" ht="24.0" customHeight="1">
      <c r="A9" s="29">
        <v>3.0</v>
      </c>
      <c r="B9" s="32" t="s">
        <v>125</v>
      </c>
      <c r="C9" s="36" t="s">
        <v>50</v>
      </c>
      <c r="D9" s="39">
        <v>0.0</v>
      </c>
      <c r="E9" s="39">
        <v>450.0</v>
      </c>
      <c r="F9" s="41">
        <v>0.8</v>
      </c>
      <c r="G9" s="43">
        <v>0.45</v>
      </c>
      <c r="H9" s="36" t="s">
        <v>114</v>
      </c>
      <c r="I9" s="36" t="s">
        <v>155</v>
      </c>
      <c r="J9" s="36" t="s">
        <v>156</v>
      </c>
      <c r="K9" s="29">
        <v>6900.0</v>
      </c>
      <c r="L9" s="29">
        <v>1300.0</v>
      </c>
      <c r="M9" s="29">
        <v>1300.0</v>
      </c>
      <c r="N9" s="36" t="s">
        <v>157</v>
      </c>
      <c r="O9" s="36" t="s">
        <v>66</v>
      </c>
      <c r="P9" s="36" t="s">
        <v>68</v>
      </c>
      <c r="Q9" s="36" t="s">
        <v>160</v>
      </c>
      <c r="R9" s="36" t="s">
        <v>161</v>
      </c>
      <c r="S9" s="36" t="s">
        <v>72</v>
      </c>
      <c r="T9" s="36" t="s">
        <v>112</v>
      </c>
    </row>
    <row r="10" ht="24.0" customHeight="1">
      <c r="A10" s="10">
        <v>4.0</v>
      </c>
      <c r="B10" s="14" t="s">
        <v>133</v>
      </c>
      <c r="C10" s="16" t="s">
        <v>50</v>
      </c>
      <c r="D10" s="21">
        <v>8.0</v>
      </c>
      <c r="E10" s="21">
        <v>450.0</v>
      </c>
      <c r="F10" s="24">
        <v>1.0</v>
      </c>
      <c r="G10" s="25"/>
      <c r="H10" s="16" t="s">
        <v>133</v>
      </c>
      <c r="I10" s="16" t="s">
        <v>164</v>
      </c>
      <c r="J10" s="16" t="s">
        <v>99</v>
      </c>
      <c r="K10" s="10">
        <v>18000.0</v>
      </c>
      <c r="L10" s="10">
        <v>150.0</v>
      </c>
      <c r="M10" s="10">
        <v>150.0</v>
      </c>
      <c r="N10" s="16" t="s">
        <v>165</v>
      </c>
      <c r="O10" s="16" t="s">
        <v>66</v>
      </c>
      <c r="P10" s="16" t="s">
        <v>68</v>
      </c>
      <c r="Q10" s="16" t="s">
        <v>166</v>
      </c>
      <c r="R10" s="16" t="s">
        <v>167</v>
      </c>
      <c r="S10" s="16" t="s">
        <v>72</v>
      </c>
      <c r="T10" s="16" t="s">
        <v>112</v>
      </c>
    </row>
    <row r="11" ht="24.0" customHeight="1">
      <c r="A11" s="29">
        <v>5.0</v>
      </c>
      <c r="B11" s="32" t="s">
        <v>140</v>
      </c>
      <c r="C11" s="36" t="s">
        <v>50</v>
      </c>
      <c r="D11" s="39">
        <v>26.0</v>
      </c>
      <c r="E11" s="39">
        <v>200.0</v>
      </c>
      <c r="F11" s="41">
        <v>0.9</v>
      </c>
      <c r="G11" s="43"/>
      <c r="H11" s="36" t="s">
        <v>171</v>
      </c>
      <c r="I11" s="36" t="s">
        <v>172</v>
      </c>
      <c r="J11" s="36" t="s">
        <v>99</v>
      </c>
      <c r="K11" s="29">
        <v>7000.0</v>
      </c>
      <c r="L11" s="29">
        <v>400.0</v>
      </c>
      <c r="M11" s="29">
        <v>400.0</v>
      </c>
      <c r="N11" s="36" t="s">
        <v>174</v>
      </c>
      <c r="O11" s="36" t="s">
        <v>66</v>
      </c>
      <c r="P11" s="36" t="s">
        <v>68</v>
      </c>
      <c r="Q11" s="36" t="s">
        <v>175</v>
      </c>
      <c r="R11" s="36" t="s">
        <v>176</v>
      </c>
      <c r="S11" s="36" t="s">
        <v>72</v>
      </c>
      <c r="T11" s="36" t="s">
        <v>112</v>
      </c>
    </row>
    <row r="12" ht="24.0" customHeight="1">
      <c r="A12" s="10">
        <v>6.0</v>
      </c>
      <c r="B12" s="14" t="s">
        <v>144</v>
      </c>
      <c r="C12" s="16" t="s">
        <v>50</v>
      </c>
      <c r="D12" s="21">
        <v>0.0</v>
      </c>
      <c r="E12" s="21">
        <v>150.0</v>
      </c>
      <c r="F12" s="24">
        <v>1.1</v>
      </c>
      <c r="G12" s="25"/>
      <c r="H12" s="16" t="s">
        <v>144</v>
      </c>
      <c r="I12" s="16" t="s">
        <v>178</v>
      </c>
      <c r="J12" s="16" t="s">
        <v>61</v>
      </c>
      <c r="K12" s="10">
        <v>1300.0</v>
      </c>
      <c r="L12" s="10">
        <v>100.0</v>
      </c>
      <c r="M12" s="10">
        <v>100.0</v>
      </c>
      <c r="N12" s="16" t="s">
        <v>180</v>
      </c>
      <c r="O12" s="16" t="s">
        <v>66</v>
      </c>
      <c r="P12" s="16" t="s">
        <v>68</v>
      </c>
      <c r="Q12" s="16" t="s">
        <v>182</v>
      </c>
      <c r="R12" s="16" t="s">
        <v>183</v>
      </c>
      <c r="S12" s="16" t="s">
        <v>72</v>
      </c>
      <c r="T12" s="16" t="s">
        <v>112</v>
      </c>
    </row>
    <row r="13" ht="24.0" customHeight="1">
      <c r="A13" s="29">
        <v>7.0</v>
      </c>
      <c r="B13" s="32" t="s">
        <v>149</v>
      </c>
      <c r="C13" s="36" t="s">
        <v>50</v>
      </c>
      <c r="D13" s="39">
        <v>0.0</v>
      </c>
      <c r="E13" s="39">
        <v>150.0</v>
      </c>
      <c r="F13" s="41">
        <v>0.45</v>
      </c>
      <c r="G13" s="43">
        <v>0.44</v>
      </c>
      <c r="H13" s="36" t="s">
        <v>135</v>
      </c>
      <c r="I13" s="36" t="s">
        <v>186</v>
      </c>
      <c r="J13" s="36" t="s">
        <v>187</v>
      </c>
      <c r="K13" s="29">
        <v>2700.0</v>
      </c>
      <c r="L13" s="29">
        <v>1800.0</v>
      </c>
      <c r="M13" s="29">
        <v>1800.0</v>
      </c>
      <c r="N13" s="36" t="s">
        <v>189</v>
      </c>
      <c r="O13" s="36" t="s">
        <v>66</v>
      </c>
      <c r="P13" s="36" t="s">
        <v>68</v>
      </c>
      <c r="Q13" s="36" t="s">
        <v>190</v>
      </c>
      <c r="R13" s="36" t="s">
        <v>191</v>
      </c>
      <c r="S13" s="36" t="s">
        <v>72</v>
      </c>
      <c r="T13" s="36" t="s">
        <v>112</v>
      </c>
    </row>
    <row r="14" ht="24.0" customHeight="1">
      <c r="A14" s="10">
        <v>8.0</v>
      </c>
      <c r="B14" s="14" t="s">
        <v>153</v>
      </c>
      <c r="C14" s="16" t="s">
        <v>50</v>
      </c>
      <c r="D14" s="21">
        <v>0.0</v>
      </c>
      <c r="E14" s="21">
        <v>150.0</v>
      </c>
      <c r="F14" s="24">
        <v>1.3</v>
      </c>
      <c r="G14" s="25"/>
      <c r="H14" s="16" t="s">
        <v>195</v>
      </c>
      <c r="I14" s="16" t="s">
        <v>197</v>
      </c>
      <c r="J14" s="16" t="s">
        <v>128</v>
      </c>
      <c r="K14" s="10">
        <v>800.0</v>
      </c>
      <c r="L14" s="10">
        <v>0.0</v>
      </c>
      <c r="M14" s="10">
        <v>0.0</v>
      </c>
      <c r="N14" s="16" t="s">
        <v>199</v>
      </c>
      <c r="O14" s="16" t="s">
        <v>66</v>
      </c>
      <c r="P14" s="16" t="s">
        <v>68</v>
      </c>
      <c r="Q14" s="16" t="s">
        <v>200</v>
      </c>
      <c r="R14" s="16" t="s">
        <v>201</v>
      </c>
      <c r="S14" s="16" t="s">
        <v>72</v>
      </c>
      <c r="T14" s="16" t="s">
        <v>112</v>
      </c>
    </row>
    <row r="15" ht="24.0" customHeight="1">
      <c r="A15" s="29">
        <v>9.0</v>
      </c>
      <c r="B15" s="32" t="s">
        <v>159</v>
      </c>
      <c r="C15" s="36" t="s">
        <v>50</v>
      </c>
      <c r="D15" s="39">
        <v>0.0</v>
      </c>
      <c r="E15" s="39">
        <v>100.0</v>
      </c>
      <c r="F15" s="41">
        <v>1.1</v>
      </c>
      <c r="G15" s="43"/>
      <c r="H15" s="36" t="s">
        <v>153</v>
      </c>
      <c r="I15" s="36" t="s">
        <v>202</v>
      </c>
      <c r="J15" s="36" t="s">
        <v>99</v>
      </c>
      <c r="K15" s="29">
        <v>800.0</v>
      </c>
      <c r="L15" s="29">
        <v>10.0</v>
      </c>
      <c r="M15" s="29">
        <v>10.0</v>
      </c>
      <c r="N15" s="36" t="s">
        <v>203</v>
      </c>
      <c r="O15" s="36" t="s">
        <v>66</v>
      </c>
      <c r="P15" s="36" t="s">
        <v>68</v>
      </c>
      <c r="Q15" s="36" t="s">
        <v>204</v>
      </c>
      <c r="R15" s="36" t="s">
        <v>205</v>
      </c>
      <c r="S15" s="36" t="s">
        <v>72</v>
      </c>
      <c r="T15" s="36" t="s">
        <v>112</v>
      </c>
    </row>
    <row r="16" ht="24.0" customHeight="1">
      <c r="A16" s="10">
        <v>10.0</v>
      </c>
      <c r="B16" s="14" t="s">
        <v>163</v>
      </c>
      <c r="C16" s="16" t="s">
        <v>50</v>
      </c>
      <c r="D16" s="21">
        <v>0.0</v>
      </c>
      <c r="E16" s="21">
        <v>100.0</v>
      </c>
      <c r="F16" s="24">
        <v>0.7</v>
      </c>
      <c r="G16" s="25"/>
      <c r="H16" s="16" t="s">
        <v>206</v>
      </c>
      <c r="I16" s="16" t="s">
        <v>207</v>
      </c>
      <c r="J16" s="16" t="s">
        <v>128</v>
      </c>
      <c r="K16" s="10">
        <v>17000.0</v>
      </c>
      <c r="L16" s="10">
        <v>150.0</v>
      </c>
      <c r="M16" s="10">
        <v>150.0</v>
      </c>
      <c r="N16" s="16" t="s">
        <v>208</v>
      </c>
      <c r="O16" s="16" t="s">
        <v>66</v>
      </c>
      <c r="P16" s="16" t="s">
        <v>68</v>
      </c>
      <c r="Q16" s="16" t="s">
        <v>209</v>
      </c>
      <c r="R16" s="16" t="s">
        <v>210</v>
      </c>
      <c r="S16" s="16" t="s">
        <v>72</v>
      </c>
      <c r="T16" s="16" t="s">
        <v>112</v>
      </c>
    </row>
    <row r="17" ht="24.0" customHeight="1">
      <c r="A17" s="29">
        <v>11.0</v>
      </c>
      <c r="B17" s="32" t="s">
        <v>168</v>
      </c>
      <c r="C17" s="36" t="s">
        <v>50</v>
      </c>
      <c r="D17" s="39">
        <v>0.0</v>
      </c>
      <c r="E17" s="39">
        <v>70.0</v>
      </c>
      <c r="F17" s="41">
        <v>0.35</v>
      </c>
      <c r="G17" s="43"/>
      <c r="H17" s="36" t="s">
        <v>211</v>
      </c>
      <c r="I17" s="36" t="s">
        <v>212</v>
      </c>
      <c r="J17" s="36" t="s">
        <v>213</v>
      </c>
      <c r="K17" s="29">
        <v>500.0</v>
      </c>
      <c r="L17" s="29">
        <v>10.0</v>
      </c>
      <c r="M17" s="29">
        <v>10.0</v>
      </c>
      <c r="N17" s="36" t="s">
        <v>214</v>
      </c>
      <c r="O17" s="36" t="s">
        <v>66</v>
      </c>
      <c r="P17" s="36" t="s">
        <v>68</v>
      </c>
      <c r="Q17" s="36" t="s">
        <v>215</v>
      </c>
      <c r="R17" s="36" t="s">
        <v>216</v>
      </c>
      <c r="S17" s="36" t="s">
        <v>72</v>
      </c>
      <c r="T17" s="36" t="s">
        <v>112</v>
      </c>
    </row>
    <row r="18" ht="24.0" customHeight="1">
      <c r="A18" s="10">
        <v>12.0</v>
      </c>
      <c r="B18" s="14" t="s">
        <v>170</v>
      </c>
      <c r="C18" s="16" t="s">
        <v>50</v>
      </c>
      <c r="D18" s="21">
        <v>0.0</v>
      </c>
      <c r="E18" s="21">
        <v>60.0</v>
      </c>
      <c r="F18" s="24">
        <v>1.0</v>
      </c>
      <c r="G18" s="25"/>
      <c r="H18" s="16" t="s">
        <v>173</v>
      </c>
      <c r="I18" s="16" t="s">
        <v>218</v>
      </c>
      <c r="J18" s="16" t="s">
        <v>128</v>
      </c>
      <c r="K18" s="10">
        <v>500.0</v>
      </c>
      <c r="L18" s="10">
        <v>20.0</v>
      </c>
      <c r="M18" s="10">
        <v>20.0</v>
      </c>
      <c r="N18" s="16" t="s">
        <v>219</v>
      </c>
      <c r="O18" s="16" t="s">
        <v>66</v>
      </c>
      <c r="P18" s="16" t="s">
        <v>68</v>
      </c>
      <c r="Q18" s="16" t="s">
        <v>220</v>
      </c>
      <c r="R18" s="16" t="s">
        <v>222</v>
      </c>
      <c r="S18" s="16" t="s">
        <v>72</v>
      </c>
      <c r="T18" s="16" t="s">
        <v>112</v>
      </c>
    </row>
    <row r="19" ht="24.0" customHeight="1">
      <c r="A19" s="29">
        <v>13.0</v>
      </c>
      <c r="B19" s="32" t="s">
        <v>173</v>
      </c>
      <c r="C19" s="36" t="s">
        <v>50</v>
      </c>
      <c r="D19" s="39">
        <v>5.0</v>
      </c>
      <c r="E19" s="39">
        <v>60.0</v>
      </c>
      <c r="F19" s="41">
        <v>1.1</v>
      </c>
      <c r="G19" s="43"/>
      <c r="H19" s="36" t="s">
        <v>223</v>
      </c>
      <c r="I19" s="36" t="s">
        <v>224</v>
      </c>
      <c r="J19" s="36" t="s">
        <v>99</v>
      </c>
      <c r="K19" s="29">
        <v>700.0</v>
      </c>
      <c r="L19" s="29">
        <v>80.0</v>
      </c>
      <c r="M19" s="29">
        <v>100.0</v>
      </c>
      <c r="N19" s="36" t="s">
        <v>225</v>
      </c>
      <c r="O19" s="36" t="s">
        <v>66</v>
      </c>
      <c r="P19" s="36" t="s">
        <v>68</v>
      </c>
      <c r="Q19" s="36" t="s">
        <v>226</v>
      </c>
      <c r="R19" s="36" t="s">
        <v>132</v>
      </c>
      <c r="S19" s="36" t="s">
        <v>72</v>
      </c>
      <c r="T19" s="36" t="s">
        <v>112</v>
      </c>
    </row>
    <row r="20" ht="24.0" customHeight="1">
      <c r="A20" s="10">
        <v>14.0</v>
      </c>
      <c r="B20" s="14" t="s">
        <v>177</v>
      </c>
      <c r="C20" s="16" t="s">
        <v>50</v>
      </c>
      <c r="D20" s="21">
        <v>1.0</v>
      </c>
      <c r="E20" s="21">
        <v>60.0</v>
      </c>
      <c r="F20" s="24">
        <v>0.9</v>
      </c>
      <c r="G20" s="25"/>
      <c r="H20" s="16" t="s">
        <v>228</v>
      </c>
      <c r="I20" s="16" t="s">
        <v>229</v>
      </c>
      <c r="J20" s="16" t="s">
        <v>99</v>
      </c>
      <c r="K20" s="10">
        <v>800.0</v>
      </c>
      <c r="L20" s="10">
        <v>150.0</v>
      </c>
      <c r="M20" s="10">
        <v>150.0</v>
      </c>
      <c r="N20" s="16" t="s">
        <v>230</v>
      </c>
      <c r="O20" s="16" t="s">
        <v>66</v>
      </c>
      <c r="P20" s="16" t="s">
        <v>68</v>
      </c>
      <c r="Q20" s="16" t="s">
        <v>231</v>
      </c>
      <c r="R20" s="16" t="s">
        <v>232</v>
      </c>
      <c r="S20" s="16" t="s">
        <v>72</v>
      </c>
      <c r="T20" s="16" t="s">
        <v>112</v>
      </c>
    </row>
    <row r="21" ht="24.0" customHeight="1">
      <c r="A21" s="29">
        <v>15.0</v>
      </c>
      <c r="B21" s="32" t="s">
        <v>181</v>
      </c>
      <c r="C21" s="36" t="s">
        <v>50</v>
      </c>
      <c r="D21" s="39">
        <v>5.0</v>
      </c>
      <c r="E21" s="39">
        <v>50.0</v>
      </c>
      <c r="F21" s="41">
        <v>0.3</v>
      </c>
      <c r="G21" s="43"/>
      <c r="H21" s="36" t="s">
        <v>135</v>
      </c>
      <c r="I21" s="36" t="s">
        <v>233</v>
      </c>
      <c r="J21" s="36" t="s">
        <v>234</v>
      </c>
      <c r="K21" s="29">
        <v>250.0</v>
      </c>
      <c r="L21" s="29">
        <v>1700.0</v>
      </c>
      <c r="M21" s="29">
        <v>1700.0</v>
      </c>
      <c r="N21" s="36" t="s">
        <v>235</v>
      </c>
      <c r="O21" s="36" t="s">
        <v>66</v>
      </c>
      <c r="P21" s="36" t="s">
        <v>68</v>
      </c>
      <c r="Q21" s="36" t="s">
        <v>236</v>
      </c>
      <c r="R21" s="36" t="s">
        <v>237</v>
      </c>
      <c r="S21" s="36" t="s">
        <v>143</v>
      </c>
      <c r="T21" s="36" t="s">
        <v>112</v>
      </c>
    </row>
    <row r="22" ht="24.0" customHeight="1">
      <c r="A22" s="10">
        <v>16.0</v>
      </c>
      <c r="B22" s="14" t="s">
        <v>185</v>
      </c>
      <c r="C22" s="16" t="s">
        <v>50</v>
      </c>
      <c r="D22" s="21">
        <v>0.0</v>
      </c>
      <c r="E22" s="21">
        <v>40.0</v>
      </c>
      <c r="F22" s="24">
        <v>0.8</v>
      </c>
      <c r="G22" s="25"/>
      <c r="H22" s="16" t="s">
        <v>206</v>
      </c>
      <c r="I22" s="16" t="s">
        <v>238</v>
      </c>
      <c r="J22" s="16" t="s">
        <v>128</v>
      </c>
      <c r="K22" s="10">
        <v>2100.0</v>
      </c>
      <c r="L22" s="10">
        <v>40.0</v>
      </c>
      <c r="M22" s="10">
        <v>40.0</v>
      </c>
      <c r="N22" s="16" t="s">
        <v>239</v>
      </c>
      <c r="O22" s="16" t="s">
        <v>66</v>
      </c>
      <c r="P22" s="16" t="s">
        <v>68</v>
      </c>
      <c r="Q22" s="16" t="s">
        <v>240</v>
      </c>
      <c r="R22" s="16" t="s">
        <v>241</v>
      </c>
      <c r="S22" s="16" t="s">
        <v>72</v>
      </c>
      <c r="T22" s="16" t="s">
        <v>112</v>
      </c>
    </row>
    <row r="23" ht="24.0" customHeight="1">
      <c r="A23" s="29">
        <v>17.0</v>
      </c>
      <c r="B23" s="32" t="s">
        <v>188</v>
      </c>
      <c r="C23" s="36" t="s">
        <v>50</v>
      </c>
      <c r="D23" s="39">
        <v>5.0</v>
      </c>
      <c r="E23" s="39">
        <v>20.0</v>
      </c>
      <c r="F23" s="41">
        <v>0.6</v>
      </c>
      <c r="G23" s="43"/>
      <c r="H23" s="36" t="s">
        <v>170</v>
      </c>
      <c r="I23" s="36" t="s">
        <v>242</v>
      </c>
      <c r="J23" s="36" t="s">
        <v>61</v>
      </c>
      <c r="K23" s="29">
        <v>200.0</v>
      </c>
      <c r="L23" s="29">
        <v>30.0</v>
      </c>
      <c r="M23" s="29">
        <v>30.0</v>
      </c>
      <c r="N23" s="36" t="s">
        <v>243</v>
      </c>
      <c r="O23" s="36" t="s">
        <v>66</v>
      </c>
      <c r="P23" s="36" t="s">
        <v>68</v>
      </c>
      <c r="Q23" s="36" t="s">
        <v>244</v>
      </c>
      <c r="R23" s="36" t="s">
        <v>245</v>
      </c>
      <c r="S23" s="36" t="s">
        <v>72</v>
      </c>
      <c r="T23" s="36" t="s">
        <v>112</v>
      </c>
    </row>
    <row r="24" ht="24.0" customHeight="1">
      <c r="A24" s="10">
        <v>18.0</v>
      </c>
      <c r="B24" s="14" t="s">
        <v>184</v>
      </c>
      <c r="C24" s="16" t="s">
        <v>50</v>
      </c>
      <c r="D24" s="21">
        <v>0.0</v>
      </c>
      <c r="E24" s="21">
        <v>20.0</v>
      </c>
      <c r="F24" s="24">
        <v>0.6</v>
      </c>
      <c r="G24" s="25"/>
      <c r="H24" s="16" t="s">
        <v>246</v>
      </c>
      <c r="I24" s="16" t="s">
        <v>247</v>
      </c>
      <c r="J24" s="16" t="s">
        <v>99</v>
      </c>
      <c r="K24" s="10">
        <v>350.0</v>
      </c>
      <c r="L24" s="10">
        <v>40.0</v>
      </c>
      <c r="M24" s="10">
        <v>40.0</v>
      </c>
      <c r="N24" s="16" t="s">
        <v>248</v>
      </c>
      <c r="O24" s="16" t="s">
        <v>66</v>
      </c>
      <c r="P24" s="16" t="s">
        <v>68</v>
      </c>
      <c r="Q24" s="16" t="s">
        <v>249</v>
      </c>
      <c r="R24" s="16" t="s">
        <v>250</v>
      </c>
      <c r="S24" s="16" t="s">
        <v>72</v>
      </c>
      <c r="T24" s="16" t="s">
        <v>112</v>
      </c>
    </row>
    <row r="25" ht="24.0" customHeight="1">
      <c r="A25" s="29">
        <v>19.0</v>
      </c>
      <c r="B25" s="32" t="s">
        <v>196</v>
      </c>
      <c r="C25" s="36" t="s">
        <v>50</v>
      </c>
      <c r="D25" s="39">
        <v>11.0</v>
      </c>
      <c r="E25" s="39">
        <v>10.0</v>
      </c>
      <c r="F25" s="41">
        <v>0.8</v>
      </c>
      <c r="G25" s="43"/>
      <c r="H25" s="36" t="s">
        <v>251</v>
      </c>
      <c r="I25" s="36" t="s">
        <v>252</v>
      </c>
      <c r="J25" s="36" t="s">
        <v>99</v>
      </c>
      <c r="K25" s="29">
        <v>4100.0</v>
      </c>
      <c r="L25" s="29">
        <v>0.0</v>
      </c>
      <c r="M25" s="29">
        <v>0.0</v>
      </c>
      <c r="N25" s="36" t="s">
        <v>253</v>
      </c>
      <c r="O25" s="36" t="s">
        <v>66</v>
      </c>
      <c r="P25" s="36" t="s">
        <v>68</v>
      </c>
      <c r="Q25" s="36" t="s">
        <v>254</v>
      </c>
      <c r="R25" s="36" t="s">
        <v>255</v>
      </c>
      <c r="S25" s="36" t="s">
        <v>72</v>
      </c>
      <c r="T25" s="36" t="s">
        <v>112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T$25"/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65.0"/>
    <col customWidth="1" min="2" max="2" width="12.0"/>
    <col customWidth="1" min="3" max="3" width="41.0"/>
    <col customWidth="1" min="4" max="4" width="12.0"/>
    <col customWidth="1" min="5" max="5" width="9.0"/>
    <col customWidth="1" min="6" max="6" width="12.0"/>
    <col customWidth="1" min="7" max="7" width="37.0"/>
    <col customWidth="1" min="8" max="8" width="44.0"/>
    <col customWidth="1" min="9" max="9" width="14.0"/>
    <col customWidth="1" min="10" max="10" width="51.0"/>
    <col customWidth="1" min="11" max="11" width="65.0"/>
    <col customWidth="1" min="12" max="12" width="100.0"/>
    <col customWidth="1" min="13" max="26" width="8.71"/>
  </cols>
  <sheetData>
    <row r="1" ht="33.75" customHeight="1">
      <c r="A1" s="2" t="s">
        <v>0</v>
      </c>
      <c r="B1" s="2" t="s">
        <v>5</v>
      </c>
      <c r="C1" s="2" t="s">
        <v>7</v>
      </c>
      <c r="D1" s="2" t="s">
        <v>10</v>
      </c>
      <c r="E1" s="2" t="s">
        <v>12</v>
      </c>
      <c r="F1" s="2" t="s">
        <v>14</v>
      </c>
      <c r="G1" s="2" t="s">
        <v>17</v>
      </c>
      <c r="H1" s="2" t="s">
        <v>19</v>
      </c>
      <c r="I1" s="2" t="s">
        <v>22</v>
      </c>
      <c r="J1" s="2" t="s">
        <v>24</v>
      </c>
      <c r="K1" s="2" t="s">
        <v>25</v>
      </c>
      <c r="L1" s="2" t="s">
        <v>27</v>
      </c>
    </row>
    <row r="2" ht="42.75" customHeight="1">
      <c r="A2" s="8" t="s">
        <v>32</v>
      </c>
      <c r="B2" s="9">
        <v>1.0</v>
      </c>
      <c r="C2" s="12" t="s">
        <v>47</v>
      </c>
      <c r="D2" s="19">
        <v>200.0</v>
      </c>
      <c r="E2" s="19">
        <v>0.0</v>
      </c>
      <c r="F2" s="23">
        <v>0.9</v>
      </c>
      <c r="G2" s="9" t="s">
        <v>47</v>
      </c>
      <c r="H2" s="9" t="s">
        <v>55</v>
      </c>
      <c r="I2" s="26" t="s">
        <v>56</v>
      </c>
      <c r="J2" s="8" t="s">
        <v>69</v>
      </c>
      <c r="K2" s="8" t="s">
        <v>66</v>
      </c>
      <c r="L2" s="8" t="s">
        <v>73</v>
      </c>
    </row>
    <row r="3" ht="42.75" customHeight="1">
      <c r="A3" s="28" t="s">
        <v>32</v>
      </c>
      <c r="B3" s="30">
        <v>2.0</v>
      </c>
      <c r="C3" s="31" t="s">
        <v>77</v>
      </c>
      <c r="D3" s="33">
        <v>100.0</v>
      </c>
      <c r="E3" s="33">
        <v>0.0</v>
      </c>
      <c r="F3" s="35">
        <v>1.3</v>
      </c>
      <c r="G3" s="30" t="s">
        <v>77</v>
      </c>
      <c r="H3" s="30" t="s">
        <v>83</v>
      </c>
      <c r="I3" s="26" t="s">
        <v>56</v>
      </c>
      <c r="J3" s="28" t="s">
        <v>69</v>
      </c>
      <c r="K3" s="28" t="s">
        <v>66</v>
      </c>
      <c r="L3" s="28" t="s">
        <v>86</v>
      </c>
    </row>
    <row r="4" ht="42.75" customHeight="1">
      <c r="A4" s="8" t="s">
        <v>32</v>
      </c>
      <c r="B4" s="9">
        <v>3.0</v>
      </c>
      <c r="C4" s="12" t="s">
        <v>89</v>
      </c>
      <c r="D4" s="19">
        <v>80.0</v>
      </c>
      <c r="E4" s="19">
        <v>0.0</v>
      </c>
      <c r="F4" s="23">
        <v>1.0</v>
      </c>
      <c r="G4" s="9" t="s">
        <v>89</v>
      </c>
      <c r="H4" s="9" t="s">
        <v>91</v>
      </c>
      <c r="I4" s="26" t="s">
        <v>56</v>
      </c>
      <c r="J4" s="8" t="s">
        <v>69</v>
      </c>
      <c r="K4" s="8" t="s">
        <v>66</v>
      </c>
      <c r="L4" s="8" t="s">
        <v>73</v>
      </c>
    </row>
    <row r="5" ht="42.75" customHeight="1">
      <c r="A5" s="28" t="s">
        <v>32</v>
      </c>
      <c r="B5" s="30">
        <v>4.0</v>
      </c>
      <c r="C5" s="31" t="s">
        <v>94</v>
      </c>
      <c r="D5" s="33">
        <v>80.0</v>
      </c>
      <c r="E5" s="33">
        <v>0.0</v>
      </c>
      <c r="F5" s="35">
        <v>0.8</v>
      </c>
      <c r="G5" s="30" t="s">
        <v>94</v>
      </c>
      <c r="H5" s="30" t="s">
        <v>97</v>
      </c>
      <c r="I5" s="26" t="s">
        <v>56</v>
      </c>
      <c r="J5" s="28" t="s">
        <v>69</v>
      </c>
      <c r="K5" s="28" t="s">
        <v>66</v>
      </c>
      <c r="L5" s="28" t="s">
        <v>73</v>
      </c>
    </row>
    <row r="6" ht="42.75" customHeight="1">
      <c r="A6" s="8" t="s">
        <v>32</v>
      </c>
      <c r="B6" s="9">
        <v>5.0</v>
      </c>
      <c r="C6" s="12" t="s">
        <v>84</v>
      </c>
      <c r="D6" s="19">
        <v>50.0</v>
      </c>
      <c r="E6" s="19">
        <v>12.0</v>
      </c>
      <c r="F6" s="23">
        <v>1.0</v>
      </c>
      <c r="G6" s="9" t="s">
        <v>47</v>
      </c>
      <c r="H6" s="9" t="s">
        <v>55</v>
      </c>
      <c r="I6" s="48" t="s">
        <v>105</v>
      </c>
      <c r="J6" s="8" t="s">
        <v>69</v>
      </c>
      <c r="K6" s="8" t="s">
        <v>66</v>
      </c>
      <c r="L6" s="8" t="s">
        <v>110</v>
      </c>
    </row>
    <row r="7" ht="42.75" customHeight="1">
      <c r="A7" s="28" t="s">
        <v>112</v>
      </c>
      <c r="B7" s="30">
        <v>1.0</v>
      </c>
      <c r="C7" s="31" t="s">
        <v>114</v>
      </c>
      <c r="D7" s="33">
        <v>2100.0</v>
      </c>
      <c r="E7" s="33">
        <v>0.0</v>
      </c>
      <c r="F7" s="35">
        <v>0.7</v>
      </c>
      <c r="G7" s="30" t="s">
        <v>114</v>
      </c>
      <c r="H7" s="30" t="s">
        <v>115</v>
      </c>
      <c r="I7" s="26" t="s">
        <v>56</v>
      </c>
      <c r="J7" s="28" t="s">
        <v>116</v>
      </c>
      <c r="K7" s="28" t="s">
        <v>66</v>
      </c>
      <c r="L7" s="28" t="s">
        <v>118</v>
      </c>
    </row>
    <row r="8" ht="42.75" customHeight="1">
      <c r="A8" s="8" t="s">
        <v>112</v>
      </c>
      <c r="B8" s="9">
        <v>2.0</v>
      </c>
      <c r="C8" s="12" t="s">
        <v>120</v>
      </c>
      <c r="D8" s="19">
        <v>700.0</v>
      </c>
      <c r="E8" s="19">
        <v>2.0</v>
      </c>
      <c r="F8" s="23">
        <v>0.9</v>
      </c>
      <c r="G8" s="9" t="s">
        <v>120</v>
      </c>
      <c r="H8" s="9" t="s">
        <v>124</v>
      </c>
      <c r="I8" s="26" t="s">
        <v>56</v>
      </c>
      <c r="J8" s="8" t="s">
        <v>116</v>
      </c>
      <c r="K8" s="8" t="s">
        <v>66</v>
      </c>
      <c r="L8" s="8" t="s">
        <v>110</v>
      </c>
    </row>
    <row r="9" ht="42.75" customHeight="1">
      <c r="A9" s="28" t="s">
        <v>112</v>
      </c>
      <c r="B9" s="30">
        <v>3.0</v>
      </c>
      <c r="C9" s="31" t="s">
        <v>125</v>
      </c>
      <c r="D9" s="33">
        <v>450.0</v>
      </c>
      <c r="E9" s="33">
        <v>0.0</v>
      </c>
      <c r="F9" s="35">
        <v>0.8</v>
      </c>
      <c r="G9" s="30" t="s">
        <v>120</v>
      </c>
      <c r="H9" s="30" t="s">
        <v>124</v>
      </c>
      <c r="I9" s="48" t="s">
        <v>105</v>
      </c>
      <c r="J9" s="28" t="s">
        <v>116</v>
      </c>
      <c r="K9" s="28" t="s">
        <v>66</v>
      </c>
      <c r="L9" s="28" t="s">
        <v>130</v>
      </c>
    </row>
    <row r="10" ht="42.75" customHeight="1">
      <c r="A10" s="8" t="s">
        <v>112</v>
      </c>
      <c r="B10" s="9">
        <v>4.0</v>
      </c>
      <c r="C10" s="12" t="s">
        <v>133</v>
      </c>
      <c r="D10" s="19">
        <v>450.0</v>
      </c>
      <c r="E10" s="19">
        <v>8.0</v>
      </c>
      <c r="F10" s="23">
        <v>1.0</v>
      </c>
      <c r="G10" s="9" t="s">
        <v>133</v>
      </c>
      <c r="H10" s="9" t="s">
        <v>134</v>
      </c>
      <c r="I10" s="26" t="s">
        <v>56</v>
      </c>
      <c r="J10" s="8" t="s">
        <v>136</v>
      </c>
      <c r="K10" s="8" t="s">
        <v>66</v>
      </c>
      <c r="L10" s="8" t="s">
        <v>110</v>
      </c>
    </row>
    <row r="11" ht="42.75" customHeight="1">
      <c r="A11" s="28" t="s">
        <v>112</v>
      </c>
      <c r="B11" s="30">
        <v>5.0</v>
      </c>
      <c r="C11" s="31" t="s">
        <v>140</v>
      </c>
      <c r="D11" s="33">
        <v>200.0</v>
      </c>
      <c r="E11" s="33">
        <v>26.0</v>
      </c>
      <c r="F11" s="35">
        <v>0.9</v>
      </c>
      <c r="G11" s="30" t="s">
        <v>133</v>
      </c>
      <c r="H11" s="30" t="s">
        <v>134</v>
      </c>
      <c r="I11" s="48" t="s">
        <v>105</v>
      </c>
      <c r="J11" s="28" t="s">
        <v>136</v>
      </c>
      <c r="K11" s="28" t="s">
        <v>66</v>
      </c>
      <c r="L11" s="28" t="s">
        <v>110</v>
      </c>
    </row>
    <row r="12" ht="42.75" customHeight="1">
      <c r="A12" s="8" t="s">
        <v>112</v>
      </c>
      <c r="B12" s="9">
        <v>6.0</v>
      </c>
      <c r="C12" s="12" t="s">
        <v>144</v>
      </c>
      <c r="D12" s="19">
        <v>150.0</v>
      </c>
      <c r="E12" s="19">
        <v>0.0</v>
      </c>
      <c r="F12" s="23">
        <v>1.1</v>
      </c>
      <c r="G12" s="9" t="s">
        <v>144</v>
      </c>
      <c r="H12" s="9" t="s">
        <v>145</v>
      </c>
      <c r="I12" s="26" t="s">
        <v>56</v>
      </c>
      <c r="J12" s="8" t="s">
        <v>136</v>
      </c>
      <c r="K12" s="8" t="s">
        <v>66</v>
      </c>
      <c r="L12" s="8" t="s">
        <v>130</v>
      </c>
    </row>
    <row r="13" ht="42.75" customHeight="1">
      <c r="A13" s="28" t="s">
        <v>112</v>
      </c>
      <c r="B13" s="30">
        <v>7.0</v>
      </c>
      <c r="C13" s="31" t="s">
        <v>149</v>
      </c>
      <c r="D13" s="33">
        <v>150.0</v>
      </c>
      <c r="E13" s="33">
        <v>0.0</v>
      </c>
      <c r="F13" s="35">
        <v>0.45</v>
      </c>
      <c r="G13" s="30" t="s">
        <v>149</v>
      </c>
      <c r="H13" s="30" t="s">
        <v>152</v>
      </c>
      <c r="I13" s="26" t="s">
        <v>56</v>
      </c>
      <c r="J13" s="28" t="s">
        <v>116</v>
      </c>
      <c r="K13" s="28" t="s">
        <v>66</v>
      </c>
      <c r="L13" s="28" t="s">
        <v>118</v>
      </c>
    </row>
    <row r="14" ht="42.75" customHeight="1">
      <c r="A14" s="8" t="s">
        <v>112</v>
      </c>
      <c r="B14" s="9">
        <v>8.0</v>
      </c>
      <c r="C14" s="12" t="s">
        <v>153</v>
      </c>
      <c r="D14" s="19">
        <v>150.0</v>
      </c>
      <c r="E14" s="19">
        <v>0.0</v>
      </c>
      <c r="F14" s="23">
        <v>1.3</v>
      </c>
      <c r="G14" s="9" t="s">
        <v>120</v>
      </c>
      <c r="H14" s="9" t="s">
        <v>124</v>
      </c>
      <c r="I14" s="48" t="s">
        <v>105</v>
      </c>
      <c r="J14" s="8" t="s">
        <v>116</v>
      </c>
      <c r="K14" s="8" t="s">
        <v>66</v>
      </c>
      <c r="L14" s="8" t="s">
        <v>158</v>
      </c>
    </row>
    <row r="15" ht="42.75" customHeight="1">
      <c r="A15" s="28" t="s">
        <v>112</v>
      </c>
      <c r="B15" s="30">
        <v>9.0</v>
      </c>
      <c r="C15" s="31" t="s">
        <v>159</v>
      </c>
      <c r="D15" s="33">
        <v>100.0</v>
      </c>
      <c r="E15" s="33">
        <v>0.0</v>
      </c>
      <c r="F15" s="35">
        <v>1.1</v>
      </c>
      <c r="G15" s="30" t="s">
        <v>159</v>
      </c>
      <c r="H15" s="30" t="s">
        <v>162</v>
      </c>
      <c r="I15" s="26" t="s">
        <v>56</v>
      </c>
      <c r="J15" s="28" t="s">
        <v>136</v>
      </c>
      <c r="K15" s="28" t="s">
        <v>66</v>
      </c>
      <c r="L15" s="28" t="s">
        <v>130</v>
      </c>
    </row>
    <row r="16" ht="42.75" customHeight="1">
      <c r="A16" s="8" t="s">
        <v>112</v>
      </c>
      <c r="B16" s="9">
        <v>10.0</v>
      </c>
      <c r="C16" s="12" t="s">
        <v>163</v>
      </c>
      <c r="D16" s="19">
        <v>100.0</v>
      </c>
      <c r="E16" s="19">
        <v>0.0</v>
      </c>
      <c r="F16" s="23">
        <v>0.7</v>
      </c>
      <c r="G16" s="9" t="s">
        <v>149</v>
      </c>
      <c r="H16" s="9" t="s">
        <v>152</v>
      </c>
      <c r="I16" s="48" t="s">
        <v>105</v>
      </c>
      <c r="J16" s="8" t="s">
        <v>116</v>
      </c>
      <c r="K16" s="8" t="s">
        <v>66</v>
      </c>
      <c r="L16" s="8" t="s">
        <v>110</v>
      </c>
    </row>
    <row r="17" ht="42.75" customHeight="1">
      <c r="A17" s="28" t="s">
        <v>112</v>
      </c>
      <c r="B17" s="30">
        <v>11.0</v>
      </c>
      <c r="C17" s="31" t="s">
        <v>168</v>
      </c>
      <c r="D17" s="33">
        <v>70.0</v>
      </c>
      <c r="E17" s="33">
        <v>0.0</v>
      </c>
      <c r="F17" s="35">
        <v>0.35</v>
      </c>
      <c r="G17" s="30" t="s">
        <v>168</v>
      </c>
      <c r="H17" s="30" t="s">
        <v>169</v>
      </c>
      <c r="I17" s="26" t="s">
        <v>56</v>
      </c>
      <c r="J17" s="28" t="s">
        <v>116</v>
      </c>
      <c r="K17" s="28" t="s">
        <v>66</v>
      </c>
      <c r="L17" s="28" t="s">
        <v>130</v>
      </c>
    </row>
    <row r="18" ht="42.75" customHeight="1">
      <c r="A18" s="8" t="s">
        <v>112</v>
      </c>
      <c r="B18" s="9">
        <v>12.0</v>
      </c>
      <c r="C18" s="12" t="s">
        <v>170</v>
      </c>
      <c r="D18" s="19">
        <v>60.0</v>
      </c>
      <c r="E18" s="19">
        <v>0.0</v>
      </c>
      <c r="F18" s="23">
        <v>1.0</v>
      </c>
      <c r="G18" s="9" t="s">
        <v>144</v>
      </c>
      <c r="H18" s="9" t="s">
        <v>145</v>
      </c>
      <c r="I18" s="48" t="s">
        <v>105</v>
      </c>
      <c r="J18" s="8" t="s">
        <v>136</v>
      </c>
      <c r="K18" s="8" t="s">
        <v>66</v>
      </c>
      <c r="L18" s="8" t="s">
        <v>130</v>
      </c>
    </row>
    <row r="19" ht="42.75" customHeight="1">
      <c r="A19" s="28" t="s">
        <v>112</v>
      </c>
      <c r="B19" s="30">
        <v>13.0</v>
      </c>
      <c r="C19" s="31" t="s">
        <v>173</v>
      </c>
      <c r="D19" s="33">
        <v>60.0</v>
      </c>
      <c r="E19" s="33">
        <v>5.0</v>
      </c>
      <c r="F19" s="35">
        <v>1.1</v>
      </c>
      <c r="G19" s="30" t="s">
        <v>133</v>
      </c>
      <c r="H19" s="30" t="s">
        <v>134</v>
      </c>
      <c r="I19" s="48" t="s">
        <v>105</v>
      </c>
      <c r="J19" s="28" t="s">
        <v>136</v>
      </c>
      <c r="K19" s="28" t="s">
        <v>66</v>
      </c>
      <c r="L19" s="28" t="s">
        <v>130</v>
      </c>
    </row>
    <row r="20" ht="42.75" customHeight="1">
      <c r="A20" s="8" t="s">
        <v>112</v>
      </c>
      <c r="B20" s="9">
        <v>14.0</v>
      </c>
      <c r="C20" s="12" t="s">
        <v>177</v>
      </c>
      <c r="D20" s="19">
        <v>60.0</v>
      </c>
      <c r="E20" s="19">
        <v>1.0</v>
      </c>
      <c r="F20" s="23">
        <v>0.9</v>
      </c>
      <c r="G20" s="9" t="s">
        <v>144</v>
      </c>
      <c r="H20" s="9" t="s">
        <v>145</v>
      </c>
      <c r="I20" s="48" t="s">
        <v>105</v>
      </c>
      <c r="J20" s="8" t="s">
        <v>136</v>
      </c>
      <c r="K20" s="8" t="s">
        <v>66</v>
      </c>
      <c r="L20" s="8" t="s">
        <v>110</v>
      </c>
    </row>
    <row r="21" ht="42.75" customHeight="1">
      <c r="A21" s="28" t="s">
        <v>112</v>
      </c>
      <c r="B21" s="30">
        <v>15.0</v>
      </c>
      <c r="C21" s="31" t="s">
        <v>181</v>
      </c>
      <c r="D21" s="33">
        <v>50.0</v>
      </c>
      <c r="E21" s="33">
        <v>5.0</v>
      </c>
      <c r="F21" s="35">
        <v>0.3</v>
      </c>
      <c r="G21" s="30" t="s">
        <v>149</v>
      </c>
      <c r="H21" s="30" t="s">
        <v>152</v>
      </c>
      <c r="I21" s="48" t="s">
        <v>105</v>
      </c>
      <c r="J21" s="28" t="s">
        <v>116</v>
      </c>
      <c r="K21" s="28" t="s">
        <v>66</v>
      </c>
      <c r="L21" s="28" t="s">
        <v>118</v>
      </c>
    </row>
    <row r="22" ht="42.75" customHeight="1">
      <c r="A22" s="8" t="s">
        <v>112</v>
      </c>
      <c r="B22" s="9">
        <v>16.0</v>
      </c>
      <c r="C22" s="12" t="s">
        <v>185</v>
      </c>
      <c r="D22" s="19">
        <v>40.0</v>
      </c>
      <c r="E22" s="19">
        <v>0.0</v>
      </c>
      <c r="F22" s="23">
        <v>0.8</v>
      </c>
      <c r="G22" s="9" t="s">
        <v>120</v>
      </c>
      <c r="H22" s="9" t="s">
        <v>124</v>
      </c>
      <c r="I22" s="48" t="s">
        <v>105</v>
      </c>
      <c r="J22" s="8" t="s">
        <v>116</v>
      </c>
      <c r="K22" s="8" t="s">
        <v>66</v>
      </c>
      <c r="L22" s="8" t="s">
        <v>110</v>
      </c>
    </row>
    <row r="23" ht="42.75" customHeight="1">
      <c r="A23" s="28" t="s">
        <v>112</v>
      </c>
      <c r="B23" s="30">
        <v>17.0</v>
      </c>
      <c r="C23" s="31" t="s">
        <v>188</v>
      </c>
      <c r="D23" s="33">
        <v>20.0</v>
      </c>
      <c r="E23" s="33">
        <v>5.0</v>
      </c>
      <c r="F23" s="35">
        <v>0.6</v>
      </c>
      <c r="G23" s="30" t="s">
        <v>133</v>
      </c>
      <c r="H23" s="30" t="s">
        <v>134</v>
      </c>
      <c r="I23" s="48" t="s">
        <v>105</v>
      </c>
      <c r="J23" s="28" t="s">
        <v>136</v>
      </c>
      <c r="K23" s="28" t="s">
        <v>66</v>
      </c>
      <c r="L23" s="28" t="s">
        <v>130</v>
      </c>
    </row>
    <row r="24" ht="42.75" customHeight="1">
      <c r="A24" s="8" t="s">
        <v>112</v>
      </c>
      <c r="B24" s="9">
        <v>18.0</v>
      </c>
      <c r="C24" s="12" t="s">
        <v>184</v>
      </c>
      <c r="D24" s="19">
        <v>20.0</v>
      </c>
      <c r="E24" s="19">
        <v>0.0</v>
      </c>
      <c r="F24" s="23">
        <v>0.6</v>
      </c>
      <c r="G24" s="9" t="s">
        <v>184</v>
      </c>
      <c r="H24" s="9" t="s">
        <v>192</v>
      </c>
      <c r="I24" s="26" t="s">
        <v>56</v>
      </c>
      <c r="J24" s="8" t="s">
        <v>136</v>
      </c>
      <c r="K24" s="8" t="s">
        <v>66</v>
      </c>
      <c r="L24" s="8" t="s">
        <v>194</v>
      </c>
    </row>
    <row r="25" ht="42.75" customHeight="1">
      <c r="A25" s="28" t="s">
        <v>112</v>
      </c>
      <c r="B25" s="30">
        <v>19.0</v>
      </c>
      <c r="C25" s="31" t="s">
        <v>196</v>
      </c>
      <c r="D25" s="33">
        <v>10.0</v>
      </c>
      <c r="E25" s="33">
        <v>11.0</v>
      </c>
      <c r="F25" s="35">
        <v>0.8</v>
      </c>
      <c r="G25" s="30" t="s">
        <v>114</v>
      </c>
      <c r="H25" s="30" t="s">
        <v>115</v>
      </c>
      <c r="I25" s="48" t="s">
        <v>105</v>
      </c>
      <c r="J25" s="28" t="s">
        <v>116</v>
      </c>
      <c r="K25" s="28" t="s">
        <v>66</v>
      </c>
      <c r="L25" s="28" t="s">
        <v>110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L$25"/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7.0"/>
    <col customWidth="1" min="2" max="2" width="25.0"/>
    <col customWidth="1" min="3" max="3" width="24.0"/>
    <col customWidth="1" min="4" max="4" width="25.0"/>
    <col customWidth="1" min="5" max="5" width="22.0"/>
    <col customWidth="1" min="6" max="6" width="68.0"/>
    <col customWidth="1" min="7" max="7" width="100.0"/>
    <col customWidth="1" min="8" max="26" width="8.71"/>
  </cols>
  <sheetData>
    <row r="1" ht="34.5" customHeight="1">
      <c r="A1" s="2" t="s">
        <v>1</v>
      </c>
      <c r="B1" s="2" t="s">
        <v>16</v>
      </c>
      <c r="C1" s="2" t="s">
        <v>20</v>
      </c>
      <c r="D1" s="2" t="s">
        <v>23</v>
      </c>
      <c r="E1" s="2" t="s">
        <v>30</v>
      </c>
      <c r="F1" s="2" t="s">
        <v>33</v>
      </c>
      <c r="G1" s="2" t="s">
        <v>36</v>
      </c>
    </row>
    <row r="2" ht="36.75" customHeight="1">
      <c r="A2" s="11">
        <v>1.0</v>
      </c>
      <c r="B2" s="11" t="s">
        <v>49</v>
      </c>
      <c r="C2" s="11">
        <v>12.0</v>
      </c>
      <c r="D2" s="15">
        <v>0.0</v>
      </c>
      <c r="E2" s="15"/>
      <c r="F2" s="18" t="s">
        <v>51</v>
      </c>
      <c r="G2" s="18" t="s">
        <v>52</v>
      </c>
    </row>
    <row r="3" ht="36.75" customHeight="1">
      <c r="A3" s="20">
        <v>2.0</v>
      </c>
      <c r="B3" s="20" t="s">
        <v>53</v>
      </c>
      <c r="C3" s="20">
        <v>12.0</v>
      </c>
      <c r="D3" s="15">
        <v>0.0</v>
      </c>
      <c r="E3" s="15"/>
      <c r="F3" s="22" t="s">
        <v>51</v>
      </c>
      <c r="G3" s="22" t="s">
        <v>52</v>
      </c>
    </row>
    <row r="4" ht="36.75" customHeight="1">
      <c r="A4" s="11">
        <v>3.0</v>
      </c>
      <c r="B4" s="11" t="s">
        <v>54</v>
      </c>
      <c r="C4" s="11">
        <v>12.0</v>
      </c>
      <c r="D4" s="15">
        <v>0.0</v>
      </c>
      <c r="E4" s="15"/>
      <c r="F4" s="18" t="s">
        <v>51</v>
      </c>
      <c r="G4" s="18" t="s">
        <v>52</v>
      </c>
    </row>
    <row r="5" ht="36.75" customHeight="1">
      <c r="A5" s="20">
        <v>4.0</v>
      </c>
      <c r="B5" s="20" t="s">
        <v>57</v>
      </c>
      <c r="C5" s="20">
        <v>12.0</v>
      </c>
      <c r="D5" s="15">
        <v>0.0</v>
      </c>
      <c r="E5" s="15"/>
      <c r="F5" s="22" t="s">
        <v>51</v>
      </c>
      <c r="G5" s="22" t="s">
        <v>52</v>
      </c>
    </row>
    <row r="6" ht="36.75" customHeight="1">
      <c r="A6" s="11">
        <v>5.0</v>
      </c>
      <c r="B6" s="11" t="s">
        <v>59</v>
      </c>
      <c r="C6" s="11">
        <v>12.0</v>
      </c>
      <c r="D6" s="15">
        <v>0.0</v>
      </c>
      <c r="E6" s="15"/>
      <c r="F6" s="18" t="s">
        <v>51</v>
      </c>
      <c r="G6" s="18" t="s">
        <v>52</v>
      </c>
    </row>
    <row r="7" ht="36.75" customHeight="1">
      <c r="A7" s="20">
        <v>6.0</v>
      </c>
      <c r="B7" s="20" t="s">
        <v>62</v>
      </c>
      <c r="C7" s="20">
        <v>12.0</v>
      </c>
      <c r="D7" s="15">
        <v>0.0</v>
      </c>
      <c r="E7" s="15"/>
      <c r="F7" s="22" t="s">
        <v>51</v>
      </c>
      <c r="G7" s="22" t="s">
        <v>52</v>
      </c>
    </row>
    <row r="8" ht="36.75" customHeight="1">
      <c r="A8" s="11">
        <v>7.0</v>
      </c>
      <c r="B8" s="11" t="s">
        <v>63</v>
      </c>
      <c r="C8" s="11">
        <v>12.0</v>
      </c>
      <c r="D8" s="15">
        <v>0.0</v>
      </c>
      <c r="E8" s="15"/>
      <c r="F8" s="18" t="s">
        <v>51</v>
      </c>
      <c r="G8" s="18" t="s">
        <v>52</v>
      </c>
    </row>
    <row r="9" ht="36.75" customHeight="1">
      <c r="A9" s="20">
        <v>8.0</v>
      </c>
      <c r="B9" s="20" t="s">
        <v>64</v>
      </c>
      <c r="C9" s="20">
        <v>12.0</v>
      </c>
      <c r="D9" s="15">
        <v>0.0</v>
      </c>
      <c r="E9" s="15"/>
      <c r="F9" s="22" t="s">
        <v>51</v>
      </c>
      <c r="G9" s="22" t="s">
        <v>52</v>
      </c>
    </row>
    <row r="10" ht="36.75" customHeight="1">
      <c r="A10" s="11">
        <v>9.0</v>
      </c>
      <c r="B10" s="11" t="s">
        <v>67</v>
      </c>
      <c r="C10" s="11">
        <v>12.0</v>
      </c>
      <c r="D10" s="15">
        <v>0.0</v>
      </c>
      <c r="E10" s="15"/>
      <c r="F10" s="18" t="s">
        <v>51</v>
      </c>
      <c r="G10" s="18" t="s">
        <v>52</v>
      </c>
    </row>
    <row r="11" ht="36.75" customHeight="1">
      <c r="A11" s="20">
        <v>10.0</v>
      </c>
      <c r="B11" s="20" t="s">
        <v>74</v>
      </c>
      <c r="C11" s="20">
        <v>12.0</v>
      </c>
      <c r="D11" s="15">
        <v>0.0</v>
      </c>
      <c r="E11" s="15"/>
      <c r="F11" s="22" t="s">
        <v>51</v>
      </c>
      <c r="G11" s="22" t="s">
        <v>52</v>
      </c>
    </row>
    <row r="12" ht="36.75" customHeight="1">
      <c r="A12" s="11">
        <v>11.0</v>
      </c>
      <c r="B12" s="11" t="s">
        <v>75</v>
      </c>
      <c r="C12" s="11">
        <v>12.0</v>
      </c>
      <c r="D12" s="15">
        <v>0.0</v>
      </c>
      <c r="E12" s="15"/>
      <c r="F12" s="18" t="s">
        <v>51</v>
      </c>
      <c r="G12" s="18" t="s">
        <v>52</v>
      </c>
    </row>
    <row r="13" ht="36.75" customHeight="1">
      <c r="A13" s="20">
        <v>12.0</v>
      </c>
      <c r="B13" s="20" t="s">
        <v>76</v>
      </c>
      <c r="C13" s="20">
        <v>12.0</v>
      </c>
      <c r="D13" s="15">
        <v>0.0</v>
      </c>
      <c r="E13" s="15"/>
      <c r="F13" s="22" t="s">
        <v>51</v>
      </c>
      <c r="G13" s="22" t="s">
        <v>52</v>
      </c>
    </row>
    <row r="14" ht="36.75" customHeight="1">
      <c r="A14" s="11">
        <v>13.0</v>
      </c>
      <c r="B14" s="11" t="s">
        <v>78</v>
      </c>
      <c r="C14" s="11">
        <v>12.0</v>
      </c>
      <c r="D14" s="15">
        <v>0.0</v>
      </c>
      <c r="E14" s="15"/>
      <c r="F14" s="18" t="s">
        <v>51</v>
      </c>
      <c r="G14" s="18" t="s">
        <v>52</v>
      </c>
    </row>
    <row r="15" ht="36.75" customHeight="1">
      <c r="A15" s="20">
        <v>14.0</v>
      </c>
      <c r="B15" s="20" t="s">
        <v>79</v>
      </c>
      <c r="C15" s="20">
        <v>12.0</v>
      </c>
      <c r="D15" s="15">
        <v>0.0</v>
      </c>
      <c r="E15" s="15"/>
      <c r="F15" s="22" t="s">
        <v>51</v>
      </c>
      <c r="G15" s="22" t="s">
        <v>52</v>
      </c>
    </row>
    <row r="16" ht="36.75" customHeight="1">
      <c r="A16" s="11">
        <v>15.0</v>
      </c>
      <c r="B16" s="11" t="s">
        <v>80</v>
      </c>
      <c r="C16" s="11">
        <v>12.0</v>
      </c>
      <c r="D16" s="15">
        <v>0.0</v>
      </c>
      <c r="E16" s="15"/>
      <c r="F16" s="18" t="s">
        <v>51</v>
      </c>
      <c r="G16" s="18" t="s">
        <v>52</v>
      </c>
    </row>
    <row r="17" ht="36.75" customHeight="1">
      <c r="A17" s="20">
        <v>16.0</v>
      </c>
      <c r="B17" s="20" t="s">
        <v>81</v>
      </c>
      <c r="C17" s="20">
        <v>12.0</v>
      </c>
      <c r="D17" s="15">
        <v>0.0</v>
      </c>
      <c r="E17" s="15"/>
      <c r="F17" s="22" t="s">
        <v>51</v>
      </c>
      <c r="G17" s="22" t="s">
        <v>52</v>
      </c>
    </row>
    <row r="18" ht="36.75" customHeight="1">
      <c r="A18" s="11">
        <v>17.0</v>
      </c>
      <c r="B18" s="11" t="s">
        <v>82</v>
      </c>
      <c r="C18" s="11">
        <v>12.0</v>
      </c>
      <c r="D18" s="15">
        <v>0.0</v>
      </c>
      <c r="E18" s="15"/>
      <c r="F18" s="18" t="s">
        <v>51</v>
      </c>
      <c r="G18" s="18" t="s">
        <v>52</v>
      </c>
    </row>
    <row r="19" ht="36.75" customHeight="1">
      <c r="A19" s="20">
        <v>18.0</v>
      </c>
      <c r="B19" s="20" t="s">
        <v>85</v>
      </c>
      <c r="C19" s="20">
        <v>12.0</v>
      </c>
      <c r="D19" s="15">
        <v>0.0</v>
      </c>
      <c r="E19" s="15"/>
      <c r="F19" s="22" t="s">
        <v>51</v>
      </c>
      <c r="G19" s="22" t="s">
        <v>52</v>
      </c>
    </row>
    <row r="20" ht="36.75" customHeight="1">
      <c r="A20" s="11">
        <v>19.0</v>
      </c>
      <c r="B20" s="11" t="s">
        <v>87</v>
      </c>
      <c r="C20" s="11">
        <v>12.0</v>
      </c>
      <c r="D20" s="15">
        <v>0.0</v>
      </c>
      <c r="E20" s="15"/>
      <c r="F20" s="18" t="s">
        <v>51</v>
      </c>
      <c r="G20" s="18" t="s">
        <v>52</v>
      </c>
    </row>
    <row r="21" ht="36.75" customHeight="1">
      <c r="A21" s="20">
        <v>20.0</v>
      </c>
      <c r="B21" s="20" t="s">
        <v>90</v>
      </c>
      <c r="C21" s="20">
        <v>12.0</v>
      </c>
      <c r="D21" s="15">
        <v>0.0</v>
      </c>
      <c r="E21" s="15"/>
      <c r="F21" s="22" t="s">
        <v>51</v>
      </c>
      <c r="G21" s="22" t="s">
        <v>52</v>
      </c>
    </row>
    <row r="22" ht="36.75" customHeight="1">
      <c r="A22" s="11">
        <v>21.0</v>
      </c>
      <c r="B22" s="11" t="s">
        <v>92</v>
      </c>
      <c r="C22" s="11">
        <v>12.0</v>
      </c>
      <c r="D22" s="15">
        <v>0.0</v>
      </c>
      <c r="E22" s="15"/>
      <c r="F22" s="18" t="s">
        <v>51</v>
      </c>
      <c r="G22" s="18" t="s">
        <v>52</v>
      </c>
    </row>
    <row r="23" ht="36.75" customHeight="1">
      <c r="A23" s="20">
        <v>22.0</v>
      </c>
      <c r="B23" s="20" t="s">
        <v>93</v>
      </c>
      <c r="C23" s="20">
        <v>12.0</v>
      </c>
      <c r="D23" s="15">
        <v>0.0</v>
      </c>
      <c r="E23" s="15"/>
      <c r="F23" s="22" t="s">
        <v>51</v>
      </c>
      <c r="G23" s="22" t="s">
        <v>52</v>
      </c>
    </row>
    <row r="24" ht="36.75" customHeight="1">
      <c r="A24" s="11">
        <v>23.0</v>
      </c>
      <c r="B24" s="11" t="s">
        <v>96</v>
      </c>
      <c r="C24" s="11">
        <v>12.0</v>
      </c>
      <c r="D24" s="15">
        <v>0.0</v>
      </c>
      <c r="E24" s="15"/>
      <c r="F24" s="18" t="s">
        <v>51</v>
      </c>
      <c r="G24" s="18" t="s">
        <v>52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G$24"/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39.0"/>
    <col customWidth="1" min="2" max="2" width="65.0"/>
    <col customWidth="1" min="3" max="3" width="111.0"/>
    <col customWidth="1" min="4" max="26" width="8.71"/>
  </cols>
  <sheetData>
    <row r="1" ht="39.75" customHeight="1">
      <c r="A1" s="62" t="s">
        <v>256</v>
      </c>
      <c r="B1" s="4"/>
      <c r="C1" s="5"/>
    </row>
    <row r="3" ht="40.5" customHeight="1">
      <c r="A3" s="63" t="s">
        <v>258</v>
      </c>
      <c r="B3" s="64" t="s">
        <v>259</v>
      </c>
      <c r="C3" s="64" t="s">
        <v>260</v>
      </c>
    </row>
    <row r="4" ht="40.5" customHeight="1">
      <c r="A4" s="65" t="s">
        <v>261</v>
      </c>
      <c r="B4" s="66" t="s">
        <v>32</v>
      </c>
      <c r="C4" s="66" t="s">
        <v>262</v>
      </c>
    </row>
    <row r="5" ht="40.5" customHeight="1">
      <c r="A5" s="63" t="s">
        <v>263</v>
      </c>
      <c r="B5" s="64" t="s">
        <v>112</v>
      </c>
      <c r="C5" s="64" t="s">
        <v>264</v>
      </c>
    </row>
    <row r="6" ht="40.5" customHeight="1">
      <c r="A6" s="65" t="s">
        <v>265</v>
      </c>
      <c r="B6" s="66">
        <v>24.0</v>
      </c>
      <c r="C6" s="66" t="s">
        <v>266</v>
      </c>
    </row>
    <row r="7" ht="40.5" customHeight="1">
      <c r="A7" s="63" t="s">
        <v>267</v>
      </c>
      <c r="B7" s="64">
        <v>12.0</v>
      </c>
      <c r="C7" s="64" t="s">
        <v>268</v>
      </c>
    </row>
    <row r="8" ht="40.5" customHeight="1">
      <c r="A8" s="65" t="s">
        <v>269</v>
      </c>
      <c r="B8" s="66">
        <v>23.0</v>
      </c>
      <c r="C8" s="66" t="s">
        <v>270</v>
      </c>
    </row>
    <row r="9" ht="40.5" customHeight="1">
      <c r="A9" s="63" t="s">
        <v>271</v>
      </c>
      <c r="B9" s="64">
        <v>276.0</v>
      </c>
      <c r="C9" s="64" t="s">
        <v>272</v>
      </c>
    </row>
    <row r="10" ht="40.5" customHeight="1">
      <c r="A10" s="65" t="s">
        <v>273</v>
      </c>
      <c r="B10" s="66">
        <v>288.0</v>
      </c>
      <c r="C10" s="66" t="s">
        <v>274</v>
      </c>
    </row>
    <row r="11" ht="40.5" customHeight="1">
      <c r="A11" s="63" t="s">
        <v>275</v>
      </c>
      <c r="B11" s="64">
        <v>24.0</v>
      </c>
      <c r="C11" s="64" t="s">
        <v>276</v>
      </c>
    </row>
    <row r="12" ht="40.5" customHeight="1">
      <c r="A12" s="65" t="s">
        <v>277</v>
      </c>
      <c r="B12" s="66">
        <v>24.0</v>
      </c>
      <c r="C12" s="66" t="s">
        <v>278</v>
      </c>
    </row>
    <row r="13" ht="40.5" customHeight="1">
      <c r="A13" s="63" t="s">
        <v>279</v>
      </c>
      <c r="B13" s="64">
        <v>24.0</v>
      </c>
      <c r="C13" s="64" t="s">
        <v>280</v>
      </c>
    </row>
    <row r="14" ht="40.5" customHeight="1">
      <c r="A14" s="65" t="s">
        <v>281</v>
      </c>
      <c r="B14" s="66">
        <v>0.0</v>
      </c>
      <c r="C14" s="66" t="s">
        <v>282</v>
      </c>
    </row>
    <row r="15" ht="40.5" customHeight="1">
      <c r="A15" s="63" t="s">
        <v>283</v>
      </c>
      <c r="B15" s="64" t="s">
        <v>51</v>
      </c>
      <c r="C15" s="64" t="s">
        <v>284</v>
      </c>
    </row>
    <row r="16" ht="40.5" customHeight="1">
      <c r="A16" s="65" t="s">
        <v>285</v>
      </c>
      <c r="B16" s="66" t="s">
        <v>286</v>
      </c>
      <c r="C16" s="66" t="s">
        <v>287</v>
      </c>
    </row>
    <row r="17" ht="40.5" customHeight="1">
      <c r="A17" s="63" t="s">
        <v>288</v>
      </c>
      <c r="B17" s="64" t="s">
        <v>289</v>
      </c>
      <c r="C17" s="64" t="s">
        <v>290</v>
      </c>
    </row>
    <row r="18" ht="40.5" customHeight="1">
      <c r="A18" s="65" t="s">
        <v>291</v>
      </c>
      <c r="B18" s="66" t="s">
        <v>289</v>
      </c>
      <c r="C18" s="66" t="s">
        <v>292</v>
      </c>
    </row>
    <row r="19" ht="40.5" customHeight="1">
      <c r="A19" s="63" t="s">
        <v>293</v>
      </c>
      <c r="B19" s="64" t="s">
        <v>294</v>
      </c>
      <c r="C19" s="64" t="s">
        <v>295</v>
      </c>
    </row>
    <row r="20" ht="40.5" customHeight="1">
      <c r="A20" s="65" t="s">
        <v>296</v>
      </c>
      <c r="B20" s="66" t="s">
        <v>294</v>
      </c>
      <c r="C20" s="66" t="s">
        <v>297</v>
      </c>
    </row>
    <row r="21" ht="40.5" customHeight="1">
      <c r="A21" s="63" t="s">
        <v>298</v>
      </c>
      <c r="B21" s="64" t="s">
        <v>294</v>
      </c>
      <c r="C21" s="64" t="s">
        <v>299</v>
      </c>
    </row>
    <row r="22" ht="40.5" customHeight="1">
      <c r="A22" s="65" t="s">
        <v>300</v>
      </c>
      <c r="B22" s="66" t="s">
        <v>301</v>
      </c>
      <c r="C22" s="66" t="s">
        <v>302</v>
      </c>
    </row>
    <row r="23" ht="40.5" customHeight="1">
      <c r="A23" s="63" t="s">
        <v>46</v>
      </c>
      <c r="B23" s="64" t="s">
        <v>104</v>
      </c>
      <c r="C23" s="64" t="s">
        <v>303</v>
      </c>
    </row>
    <row r="24" ht="40.5" customHeight="1">
      <c r="A24" s="65" t="s">
        <v>304</v>
      </c>
      <c r="B24" s="66" t="s">
        <v>305</v>
      </c>
      <c r="C24" s="66" t="s">
        <v>306</v>
      </c>
    </row>
    <row r="25" ht="40.5" customHeight="1">
      <c r="A25" s="63" t="s">
        <v>307</v>
      </c>
      <c r="B25" s="64" t="s">
        <v>308</v>
      </c>
      <c r="C25" s="64" t="s">
        <v>309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rintOptions/>
  <pageMargins bottom="1.0" footer="0.0" header="0.0" left="0.75" right="0.75" top="1.0"/>
  <pageSetup orientation="landscape"/>
  <drawing r:id="rId1"/>
</worksheet>
</file>